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git\HastaArduino\docs\"/>
    </mc:Choice>
  </mc:AlternateContent>
  <xr:revisionPtr revIDLastSave="0" documentId="13_ncr:1_{2BA55F79-6709-4A0D-9798-CEF5C1F73F6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opping list" sheetId="1" r:id="rId1"/>
    <sheet name="Board BOM" sheetId="2" r:id="rId2"/>
  </sheets>
  <definedNames>
    <definedName name="_xlnm._FilterDatabase" localSheetId="1" hidden="1">'Board BOM'!$A$4:$H$53</definedName>
    <definedName name="_xlnm._FilterDatabase" localSheetId="0" hidden="1">'Shopping list'!$A$11:$Q$62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2" i="1" l="1"/>
  <c r="H62" i="1"/>
  <c r="G62" i="1"/>
  <c r="J62" i="1" s="1"/>
  <c r="L62" i="1" s="1"/>
  <c r="N61" i="1"/>
  <c r="I61" i="1"/>
  <c r="H61" i="1"/>
  <c r="G61" i="1"/>
  <c r="J61" i="1" s="1"/>
  <c r="L61" i="1" s="1"/>
  <c r="N60" i="1"/>
  <c r="H60" i="1"/>
  <c r="G60" i="1"/>
  <c r="J60" i="1" s="1"/>
  <c r="L60" i="1" s="1"/>
  <c r="N59" i="1"/>
  <c r="H59" i="1"/>
  <c r="G59" i="1"/>
  <c r="J59" i="1" s="1"/>
  <c r="L59" i="1" s="1"/>
  <c r="N58" i="1"/>
  <c r="H58" i="1"/>
  <c r="G58" i="1"/>
  <c r="J58" i="1" s="1"/>
  <c r="L58" i="1" s="1"/>
  <c r="N57" i="1"/>
  <c r="H57" i="1"/>
  <c r="G57" i="1"/>
  <c r="J57" i="1" s="1"/>
  <c r="L57" i="1" s="1"/>
  <c r="N55" i="1"/>
  <c r="H55" i="1"/>
  <c r="G55" i="1"/>
  <c r="J55" i="1" s="1"/>
  <c r="L55" i="1" s="1"/>
  <c r="N54" i="1"/>
  <c r="H54" i="1"/>
  <c r="G54" i="1"/>
  <c r="J54" i="1" s="1"/>
  <c r="L54" i="1" s="1"/>
  <c r="N53" i="1"/>
  <c r="H53" i="1"/>
  <c r="G53" i="1"/>
  <c r="J53" i="1" s="1"/>
  <c r="L53" i="1" s="1"/>
  <c r="N52" i="1"/>
  <c r="H52" i="1"/>
  <c r="G52" i="1"/>
  <c r="J52" i="1" s="1"/>
  <c r="L52" i="1" s="1"/>
  <c r="N51" i="1"/>
  <c r="H51" i="1"/>
  <c r="G51" i="1"/>
  <c r="J51" i="1" s="1"/>
  <c r="L51" i="1" s="1"/>
  <c r="N50" i="1"/>
  <c r="H50" i="1"/>
  <c r="G50" i="1"/>
  <c r="J50" i="1" s="1"/>
  <c r="L50" i="1" s="1"/>
  <c r="N49" i="1"/>
  <c r="H49" i="1"/>
  <c r="G49" i="1"/>
  <c r="J49" i="1" s="1"/>
  <c r="L49" i="1" s="1"/>
  <c r="N48" i="1"/>
  <c r="H48" i="1"/>
  <c r="G48" i="1"/>
  <c r="J48" i="1" s="1"/>
  <c r="L48" i="1" s="1"/>
  <c r="N46" i="1"/>
  <c r="J46" i="1"/>
  <c r="L46" i="1" s="1"/>
  <c r="H46" i="1"/>
  <c r="G46" i="1"/>
  <c r="N45" i="1"/>
  <c r="H45" i="1"/>
  <c r="G45" i="1"/>
  <c r="J45" i="1" s="1"/>
  <c r="L45" i="1" s="1"/>
  <c r="N44" i="1"/>
  <c r="J44" i="1"/>
  <c r="L44" i="1" s="1"/>
  <c r="H44" i="1"/>
  <c r="G44" i="1"/>
  <c r="N43" i="1"/>
  <c r="H43" i="1"/>
  <c r="G43" i="1"/>
  <c r="J43" i="1" s="1"/>
  <c r="L43" i="1" s="1"/>
  <c r="N42" i="1"/>
  <c r="J42" i="1"/>
  <c r="L42" i="1" s="1"/>
  <c r="H42" i="1"/>
  <c r="G42" i="1"/>
  <c r="N40" i="1"/>
  <c r="H40" i="1"/>
  <c r="G40" i="1"/>
  <c r="J40" i="1" s="1"/>
  <c r="L40" i="1" s="1"/>
  <c r="N39" i="1"/>
  <c r="H39" i="1"/>
  <c r="G39" i="1"/>
  <c r="J39" i="1" s="1"/>
  <c r="L39" i="1" s="1"/>
  <c r="N38" i="1"/>
  <c r="H38" i="1"/>
  <c r="G38" i="1"/>
  <c r="J38" i="1" s="1"/>
  <c r="L38" i="1" s="1"/>
  <c r="N37" i="1"/>
  <c r="H37" i="1"/>
  <c r="G37" i="1"/>
  <c r="J37" i="1" s="1"/>
  <c r="L37" i="1" s="1"/>
  <c r="N36" i="1"/>
  <c r="H36" i="1"/>
  <c r="G36" i="1"/>
  <c r="J36" i="1" s="1"/>
  <c r="L36" i="1" s="1"/>
  <c r="N35" i="1"/>
  <c r="H35" i="1"/>
  <c r="G35" i="1"/>
  <c r="J35" i="1" s="1"/>
  <c r="L35" i="1" s="1"/>
  <c r="N33" i="1"/>
  <c r="H33" i="1"/>
  <c r="J33" i="1" s="1"/>
  <c r="L33" i="1" s="1"/>
  <c r="G33" i="1"/>
  <c r="N32" i="1"/>
  <c r="H32" i="1"/>
  <c r="G32" i="1"/>
  <c r="J32" i="1" s="1"/>
  <c r="L32" i="1" s="1"/>
  <c r="N31" i="1"/>
  <c r="H31" i="1"/>
  <c r="J31" i="1" s="1"/>
  <c r="L31" i="1" s="1"/>
  <c r="G31" i="1"/>
  <c r="N30" i="1"/>
  <c r="H30" i="1"/>
  <c r="G30" i="1"/>
  <c r="J30" i="1" s="1"/>
  <c r="L30" i="1" s="1"/>
  <c r="N29" i="1"/>
  <c r="H29" i="1"/>
  <c r="J29" i="1" s="1"/>
  <c r="L29" i="1" s="1"/>
  <c r="G29" i="1"/>
  <c r="N28" i="1"/>
  <c r="H28" i="1"/>
  <c r="G28" i="1"/>
  <c r="J28" i="1" s="1"/>
  <c r="L28" i="1" s="1"/>
  <c r="N27" i="1"/>
  <c r="H27" i="1"/>
  <c r="G27" i="1"/>
  <c r="J27" i="1" s="1"/>
  <c r="L27" i="1" s="1"/>
  <c r="N25" i="1"/>
  <c r="H25" i="1"/>
  <c r="G25" i="1"/>
  <c r="J25" i="1" s="1"/>
  <c r="L25" i="1" s="1"/>
  <c r="N24" i="1"/>
  <c r="J24" i="1"/>
  <c r="L24" i="1" s="1"/>
  <c r="H24" i="1"/>
  <c r="G24" i="1"/>
  <c r="N23" i="1"/>
  <c r="H23" i="1"/>
  <c r="G23" i="1"/>
  <c r="J23" i="1" s="1"/>
  <c r="L23" i="1" s="1"/>
  <c r="N21" i="1"/>
  <c r="H21" i="1"/>
  <c r="G21" i="1"/>
  <c r="J21" i="1" s="1"/>
  <c r="L21" i="1" s="1"/>
  <c r="N20" i="1"/>
  <c r="H20" i="1"/>
  <c r="G20" i="1"/>
  <c r="J20" i="1" s="1"/>
  <c r="L20" i="1" s="1"/>
  <c r="N19" i="1"/>
  <c r="H19" i="1"/>
  <c r="G19" i="1"/>
  <c r="J19" i="1" s="1"/>
  <c r="L19" i="1" s="1"/>
  <c r="N18" i="1"/>
  <c r="H18" i="1"/>
  <c r="G18" i="1"/>
  <c r="J18" i="1" s="1"/>
  <c r="L18" i="1" s="1"/>
  <c r="N17" i="1"/>
  <c r="H17" i="1"/>
  <c r="G17" i="1"/>
  <c r="J17" i="1" s="1"/>
  <c r="L17" i="1" s="1"/>
  <c r="N15" i="1"/>
  <c r="H15" i="1"/>
  <c r="G15" i="1"/>
  <c r="J15" i="1" s="1"/>
  <c r="L15" i="1" s="1"/>
  <c r="N14" i="1"/>
  <c r="H14" i="1"/>
  <c r="G14" i="1"/>
  <c r="J14" i="1" s="1"/>
  <c r="L14" i="1" s="1"/>
  <c r="N13" i="1"/>
  <c r="J13" i="1"/>
  <c r="L13" i="1" s="1"/>
  <c r="H13" i="1"/>
  <c r="G13" i="1"/>
  <c r="F7" i="1"/>
  <c r="F6" i="1"/>
  <c r="F5" i="1"/>
  <c r="F4" i="1"/>
  <c r="F8" i="1" s="1"/>
  <c r="F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BOM</author>
  </authors>
  <commentList>
    <comment ref="C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Assumed 1 of each. Change to how many boards you will actually build.</t>
        </r>
      </text>
    </comment>
    <comment ref="C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Assumed 1 of each. Change to how many boards you will actually build.</t>
        </r>
      </text>
    </comment>
    <comment ref="I58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Quantity depends on your cable lengths and plug choice: type it in.</t>
        </r>
      </text>
    </comment>
    <comment ref="I60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Quantity depends on your cable lengths and plug choice: type it in.</t>
        </r>
      </text>
    </comment>
  </commentList>
</comments>
</file>

<file path=xl/sharedStrings.xml><?xml version="1.0" encoding="utf-8"?>
<sst xmlns="http://schemas.openxmlformats.org/spreadsheetml/2006/main" count="639" uniqueCount="337">
  <si>
    <t>Parts to buy: HastaDAQ main board + gauge board, rev A</t>
  </si>
  <si>
    <t>How to use: pick a Status in column A (dropdown), type what you bought in 'Qty bought' and the unit price; everything marked yellow is yours to fill in.</t>
  </si>
  <si>
    <t>Qty per board comes from the 'Board BOM' sheet; 'Qty needed' = main x boards + gauge x boards + other. Change the two board counts below (blue).</t>
  </si>
  <si>
    <t>Progress</t>
  </si>
  <si>
    <t>Status 'Own stock' counts as done. Supplier part numbers are RS stock numbers where they are known (from docs/PARTS_TO_SELECT.md); blank means not found yet.</t>
  </si>
  <si>
    <t>Main boards to populate</t>
  </si>
  <si>
    <t>Items to buy</t>
  </si>
  <si>
    <t>Gauge boards to populate</t>
  </si>
  <si>
    <t>Not ordered</t>
  </si>
  <si>
    <t>Ordered, not yet received</t>
  </si>
  <si>
    <t>Received or own stock</t>
  </si>
  <si>
    <t>Complete</t>
  </si>
  <si>
    <t>Total spent (GBP)</t>
  </si>
  <si>
    <t>Status</t>
  </si>
  <si>
    <t>Group</t>
  </si>
  <si>
    <t>Item</t>
  </si>
  <si>
    <t>Spec / value</t>
  </si>
  <si>
    <t>Supplier</t>
  </si>
  <si>
    <t>Supplier part no. (RS stock no.)</t>
  </si>
  <si>
    <t>Qty per main board</t>
  </si>
  <si>
    <t>Qty per gauge board</t>
  </si>
  <si>
    <t>Other qty (off-board / assembly)</t>
  </si>
  <si>
    <t>Qty needed</t>
  </si>
  <si>
    <t>Qty bought</t>
  </si>
  <si>
    <t>Still to buy</t>
  </si>
  <si>
    <t>Unit price (GBP)</t>
  </si>
  <si>
    <t>Line cost (GBP)</t>
  </si>
  <si>
    <t>Order ref / date</t>
  </si>
  <si>
    <t>Used on</t>
  </si>
  <si>
    <t>Notes</t>
  </si>
  <si>
    <t>Main board modules</t>
  </si>
  <si>
    <t>Pimoroni Pico Plus 2</t>
  </si>
  <si>
    <t>RP2350, 16 MB flash, 8 MB PSRAM, USB-C</t>
  </si>
  <si>
    <t>Pimoroni</t>
  </si>
  <si>
    <t>Main U1</t>
  </si>
  <si>
    <t>Footprint is the 'header pins' version: check the one you buy has headers (or add 2 x 1x20 pin headers). Soldered straight to the PCB.</t>
  </si>
  <si>
    <t>Pololu D42V55F8 step-down regulator</t>
  </si>
  <si>
    <t>8.4 V, 5 A (servo rail), 6.1 mm tall</t>
  </si>
  <si>
    <t>Main U2</t>
  </si>
  <si>
    <t>SparkFun BabyBuck 5V (AP63357)</t>
  </si>
  <si>
    <t>5 V buck for Pico VSYS and Orbis</t>
  </si>
  <si>
    <t>Main U3</t>
  </si>
  <si>
    <t>EN may be left open.</t>
  </si>
  <si>
    <t>Main board semiconductors</t>
  </si>
  <si>
    <t>onsemi FOD817A opto-coupler</t>
  </si>
  <si>
    <t>4-pin DIP, CTR 80-160 %</t>
  </si>
  <si>
    <t>RS Components</t>
  </si>
  <si>
    <t>761-4439</t>
  </si>
  <si>
    <t>Main U4</t>
  </si>
  <si>
    <t>TRIG_IN stage.</t>
  </si>
  <si>
    <t>2N3904 NPN transistor</t>
  </si>
  <si>
    <t>TO-92 (pin 1 E, 2 B, 3 C)</t>
  </si>
  <si>
    <t>Main Q1</t>
  </si>
  <si>
    <t>RS number not recorded in the docs: add it when you find it.</t>
  </si>
  <si>
    <t>STMicroelectronics 1N5822 Schottky diode</t>
  </si>
  <si>
    <t>3 A, 40 V, DO-201AD</t>
  </si>
  <si>
    <t>687-0877</t>
  </si>
  <si>
    <t>Main D1</t>
  </si>
  <si>
    <t>Supply reverse-protection diode.</t>
  </si>
  <si>
    <t>Taiwan Semi BZX55C5V1 zener diode</t>
  </si>
  <si>
    <t>5.1 V, 500 mW, DO-35</t>
  </si>
  <si>
    <t>748-5051</t>
  </si>
  <si>
    <t>Main D2; Main D4</t>
  </si>
  <si>
    <t>D2 soft-stop clamp, D4 SBUS IN clamp.</t>
  </si>
  <si>
    <t>Vishay BAV17-BAV21 switching diode</t>
  </si>
  <si>
    <t>DO-35, 250 mA (any family member)</t>
  </si>
  <si>
    <t>700-3863</t>
  </si>
  <si>
    <t>Main D3</t>
  </si>
  <si>
    <t>Schematic text says 1N4148; any DO-35 small-signal diode works (1N4148 etc.). Confirm the exact type on the RS page.</t>
  </si>
  <si>
    <t>Main board capacitors</t>
  </si>
  <si>
    <t>Panasonic ECA1EM101 electrolytic 100 uF 25 V</t>
  </si>
  <si>
    <t>6.3 x 11.2 mm, 2.5 mm pitch, 85 C</t>
  </si>
  <si>
    <t>Main C1</t>
  </si>
  <si>
    <t>C1, 12 V input bulk.</t>
  </si>
  <si>
    <t>Panasonic EEUFR1C471 electrolytic 470 uF 16 V</t>
  </si>
  <si>
    <t>8.0 x 11.5 mm, 3.5 mm pitch, low ESR, 105 C</t>
  </si>
  <si>
    <t>708-3620</t>
  </si>
  <si>
    <t>Main C2</t>
  </si>
  <si>
    <t>C2, servo rail bulk.</t>
  </si>
  <si>
    <t>RS PRO LHK electrolytic 100 uF 10 V</t>
  </si>
  <si>
    <t>5 x 7 mm, 2.0 mm pitch, 105 C</t>
  </si>
  <si>
    <t>707-5799</t>
  </si>
  <si>
    <t>Main C3</t>
  </si>
  <si>
    <t>C3, 5 V bulk near the Pico.</t>
  </si>
  <si>
    <t>Resistors (1/4 W axial, DIN0207)</t>
  </si>
  <si>
    <t>Resistor 10 k</t>
  </si>
  <si>
    <t>1/4 W axial</t>
  </si>
  <si>
    <t>Main R1,R2,R3,R4,R15; Main R6; Main R7; Main R9; Main R11; Main R14</t>
  </si>
  <si>
    <t>Main R14 is left unfitted at first (SBUS IN pull-down) but included here.</t>
  </si>
  <si>
    <t>Resistor 1 k</t>
  </si>
  <si>
    <t>Main R5; Main R13</t>
  </si>
  <si>
    <t>Resistor 2.2 k</t>
  </si>
  <si>
    <t>Main R10</t>
  </si>
  <si>
    <t>Q1 base resistor.</t>
  </si>
  <si>
    <t>Resistor 1.5 k</t>
  </si>
  <si>
    <t>Main R12</t>
  </si>
  <si>
    <t>TRIG_OUT pull-up.</t>
  </si>
  <si>
    <t>Resistor 1 k, 1 W</t>
  </si>
  <si>
    <t>1 W axial, body about 9.9 x 3.6 mm</t>
  </si>
  <si>
    <t>Main R8</t>
  </si>
  <si>
    <t>R8: 1 W because a 24 V trigger gives about 0.6 W.</t>
  </si>
  <si>
    <t>Resistor 0 ohm link</t>
  </si>
  <si>
    <t>Gauge R1,R2,R3,R4</t>
  </si>
  <si>
    <t>Gauge board input-filter positions.</t>
  </si>
  <si>
    <t>Resistor 350 ohm precision</t>
  </si>
  <si>
    <t>Own stock</t>
  </si>
  <si>
    <t>Gauge R5,R6</t>
  </si>
  <si>
    <t>Gauge board completion pair: the owner's own precision parts.</t>
  </si>
  <si>
    <t>Pin headers (0.1 in, vertical)</t>
  </si>
  <si>
    <t>Pin header 1x3</t>
  </si>
  <si>
    <t>2.54 mm</t>
  </si>
  <si>
    <t>Main J10</t>
  </si>
  <si>
    <t>Main J10 (SBUS IN).</t>
  </si>
  <si>
    <t>Pin header 1x4</t>
  </si>
  <si>
    <t>Main J1; Main J2; Main J6; Main J11; Gauge J1; Gauge J2</t>
  </si>
  <si>
    <t>Main J1 IMU, J2 loom, J6/J11 SSI; gauge J1/J2 loom.</t>
  </si>
  <si>
    <t>Pin header 1x5</t>
  </si>
  <si>
    <t>Main J9</t>
  </si>
  <si>
    <t>Main J9 (TRIG_OUT pull-up select).</t>
  </si>
  <si>
    <t>Pin header 2x3</t>
  </si>
  <si>
    <t>Gauge J3; Gauge J4</t>
  </si>
  <si>
    <t>Gauge J3/J4 half-bridge headers.</t>
  </si>
  <si>
    <t>Pin header 2x4</t>
  </si>
  <si>
    <t>Main J3; Main J4; Main J5; Main J8</t>
  </si>
  <si>
    <t>Main J3-J5 encoder ports, J8 supply.</t>
  </si>
  <si>
    <t>Pin header 3x6 (3 rows of 6)</t>
  </si>
  <si>
    <t>2.54 mm, 18 pins</t>
  </si>
  <si>
    <t>Main J7</t>
  </si>
  <si>
    <t>Main J7, the six servo plugs. Make from three 1x6 strips, or snap from a long strip.</t>
  </si>
  <si>
    <t>Gauge board parts</t>
  </si>
  <si>
    <t>Microchip MCP1700-3302E/TO LDO</t>
  </si>
  <si>
    <t>3.3 V, 250 mA, TO-92</t>
  </si>
  <si>
    <t>040-3888</t>
  </si>
  <si>
    <t>Gauge U1</t>
  </si>
  <si>
    <t>Input max 6.0 V: only the 5 V loom may feed it.</t>
  </si>
  <si>
    <t>RS PRO LHK electrolytic 47 uF 16 V</t>
  </si>
  <si>
    <t>5 x 7 mm, 2.0 mm pitch</t>
  </si>
  <si>
    <t>707-5758</t>
  </si>
  <si>
    <t>Gauge C1</t>
  </si>
  <si>
    <t>C1, polarised: + to +5V.</t>
  </si>
  <si>
    <t>RS PRO CB solid tantalum 10 uF 10 V</t>
  </si>
  <si>
    <t>about 5.0 x 8.0 mm, 2.5 mm pitch</t>
  </si>
  <si>
    <t>181-4731</t>
  </si>
  <si>
    <t>Gauge C3</t>
  </si>
  <si>
    <t>C3, polarised: + (bar) to +3V3.</t>
  </si>
  <si>
    <t>Vishay K-series ceramic capacitor 100 nF 50 V X7R</t>
  </si>
  <si>
    <t>radial, 2.5 mm lead spacing</t>
  </si>
  <si>
    <t>181-6552</t>
  </si>
  <si>
    <t>Gauge C2,C4; Gauge C5,C6</t>
  </si>
  <si>
    <t>C2, C4 fitted; C5, C6 are optional filter positions (DNP by default) but included.</t>
  </si>
  <si>
    <t>Adafruit ADS122C04 breakout</t>
  </si>
  <si>
    <t>24-bit I2C ADC, soldered straight to the PCB</t>
  </si>
  <si>
    <t>Gauge U2; Gauge U3</t>
  </si>
  <si>
    <t>Two per gauge board.</t>
  </si>
  <si>
    <t>Off-board items</t>
  </si>
  <si>
    <t>Pimoroni RM2 WiFi breakout + JST-SH 8-pin lead</t>
  </si>
  <si>
    <t>cabled to the Pico Plus 2 SP/CE connector</t>
  </si>
  <si>
    <t>Not on either PCB.</t>
  </si>
  <si>
    <t>Adafruit ICM20649 IMU + Pi Hut Qwiic breakout 106676</t>
  </si>
  <si>
    <t>plugs into main J1</t>
  </si>
  <si>
    <t>Adafruit / The Pi Hut</t>
  </si>
  <si>
    <t>MT6835 encoder breakout</t>
  </si>
  <si>
    <t>SPI, 21-bit</t>
  </si>
  <si>
    <t>Main J3/J4 (ENC1, ENC2). Mark Own stock if you have them.</t>
  </si>
  <si>
    <t>RLS Orbis encoder</t>
  </si>
  <si>
    <t>SPI</t>
  </si>
  <si>
    <t>RLS</t>
  </si>
  <si>
    <t>Main J5 (ENC3).</t>
  </si>
  <si>
    <t>RLS RM08 encoder (RM08SC0012B50U2G00, 3.3 V)</t>
  </si>
  <si>
    <t>12-bit SSI</t>
  </si>
  <si>
    <t>Main J6/J11 (SSI1, SSI2).</t>
  </si>
  <si>
    <t>RLS LDB02 line-drive board for SSI</t>
  </si>
  <si>
    <t>fitted inline near the Pico</t>
  </si>
  <si>
    <t>One per RM08.</t>
  </si>
  <si>
    <t>Servos (up to 6) with SBUS</t>
  </si>
  <si>
    <t>plug into J7</t>
  </si>
  <si>
    <t>Quantity is the owner's rig; set Own stock if already owned.</t>
  </si>
  <si>
    <t>SBUS receiver (Futaba R3008SB)</t>
  </si>
  <si>
    <t>4.8-7.4 V, for J10 pass-through</t>
  </si>
  <si>
    <t>Optional until the pass-through firmware exists.</t>
  </si>
  <si>
    <t>Assembly items</t>
  </si>
  <si>
    <t>Shunt jumper 2.54 mm</t>
  </si>
  <si>
    <t>for J9</t>
  </si>
  <si>
    <t>One on J9.</t>
  </si>
  <si>
    <t>Mating plugs and cable for the headers</t>
  </si>
  <si>
    <t>keyed or shrouded: owner's choice</t>
  </si>
  <si>
    <t>A rotated encoder or supply plug puts 5 V or 12 V on a wrong pin, so key them. Encoder and supply cables, loom plugs and wire, servo plugs, SBUS IN lead.</t>
  </si>
  <si>
    <t>Ferrite (clip-on or bead) for the +5V loom wire</t>
  </si>
  <si>
    <t>Shielded twisted-pair gauge cable</t>
  </si>
  <si>
    <t>shield to GND at the gauge board only</t>
  </si>
  <si>
    <t>M3 standoffs and screws (4 per board)</t>
  </si>
  <si>
    <t>one set per populated board</t>
  </si>
  <si>
    <t>Four M3 holes on each board.</t>
  </si>
  <si>
    <t>12 V supply lead for J8</t>
  </si>
  <si>
    <t>no fuse on the board: set the bench current limit (about 3 A)</t>
  </si>
  <si>
    <t>Board BOM: every line of both schematics (rev A), from kicad-cli</t>
  </si>
  <si>
    <t>Buy? = No means nothing to purchase (copper test pads). The Shopping list sums these quantities per item.</t>
  </si>
  <si>
    <t>Board</t>
  </si>
  <si>
    <t>References</t>
  </si>
  <si>
    <t>Qty</t>
  </si>
  <si>
    <t>Schematic value</t>
  </si>
  <si>
    <t>Footprint</t>
  </si>
  <si>
    <t>Buy?</t>
  </si>
  <si>
    <t>Shopping list item</t>
  </si>
  <si>
    <t>Note</t>
  </si>
  <si>
    <t>Main</t>
  </si>
  <si>
    <t>C1</t>
  </si>
  <si>
    <t>100uF 25V input bulk (Panasonic ECA1EM101)</t>
  </si>
  <si>
    <t>CP_Radial_D6.3mm_P2.50mm</t>
  </si>
  <si>
    <t>Yes</t>
  </si>
  <si>
    <t>C2</t>
  </si>
  <si>
    <t>470uF 16V servo bulk (Panasonic EEUFR1C471)</t>
  </si>
  <si>
    <t>CP_Radial_D8.0mm_P3.50mm</t>
  </si>
  <si>
    <t>C3</t>
  </si>
  <si>
    <t>100uF 10V 5V bulk (RS PRO LHK 5x7)</t>
  </si>
  <si>
    <t>CP_Radial_D5.0mm_P2.00mm</t>
  </si>
  <si>
    <t>D1</t>
  </si>
  <si>
    <t>Schottky (e.g. 1N5822, 3A)</t>
  </si>
  <si>
    <t>D_DO-201AD_P15.24mm_Horizontal</t>
  </si>
  <si>
    <t>D2</t>
  </si>
  <si>
    <t>5.1V zener (BZX55C5V1) soft-stop clamp</t>
  </si>
  <si>
    <t>D_DO-35_SOD27_P7.62mm_Horizontal</t>
  </si>
  <si>
    <t>D3</t>
  </si>
  <si>
    <t>1N4148 (LED reverse protect)</t>
  </si>
  <si>
    <t>D4</t>
  </si>
  <si>
    <t>5.1V zener (BZX55C5V1) SBUS IN clamp</t>
  </si>
  <si>
    <t>J1</t>
  </si>
  <si>
    <t>IMU via Qwiic breakout (The Pi Hut 106676)</t>
  </si>
  <si>
    <t>PinHeader_1x04_P2.54mm_Vertical</t>
  </si>
  <si>
    <t>J2</t>
  </si>
  <si>
    <t>GAUGE BOARD LOOM (J_I2C): GND, +5V, SDA, SCL</t>
  </si>
  <si>
    <t>J3</t>
  </si>
  <si>
    <t>ENC1 SPI port: MT6835 (pitch)</t>
  </si>
  <si>
    <t>PinHeader_2x04_P2.54mm_Vertical</t>
  </si>
  <si>
    <t>J4</t>
  </si>
  <si>
    <t>ENC2 SPI port: MT6835</t>
  </si>
  <si>
    <t>J5</t>
  </si>
  <si>
    <t>ENC3 SPI port: RLS Orbis (or MT6835)</t>
  </si>
  <si>
    <t>J6</t>
  </si>
  <si>
    <t>SSI1: RM08 encoder (3V3, GND, CLK, DATA)</t>
  </si>
  <si>
    <t>J7</t>
  </si>
  <si>
    <t>SBUS servo header 3x6 (6 plugs: GND, V, SIG)</t>
  </si>
  <si>
    <t>PinHeader_3x06_P2.54mm_Vertical</t>
  </si>
  <si>
    <t>J8</t>
  </si>
  <si>
    <t>Main supply cable (2x4): VSUPPLY, VGND, TRIG, SOFTSTOP</t>
  </si>
  <si>
    <t>J9</t>
  </si>
  <si>
    <t>TRIG_OUT pull-up (1x5)</t>
  </si>
  <si>
    <t>PinHeader_1x05_P2.54mm_Vertical</t>
  </si>
  <si>
    <t>J10</t>
  </si>
  <si>
    <t>SBUS IN (RC receiver): GND, V, SIG</t>
  </si>
  <si>
    <t>PinHeader_1x03_P2.54mm_Vertical</t>
  </si>
  <si>
    <t>J11</t>
  </si>
  <si>
    <t>SSI2: RM08 encoder (3V3, GND, CLK, DATA)</t>
  </si>
  <si>
    <t>Q1</t>
  </si>
  <si>
    <t>2N3904 NPN (TO-92, pin 1 E, 2 B, 3 C)</t>
  </si>
  <si>
    <t>TO-92_Inline</t>
  </si>
  <si>
    <t>R1,R2,R3,R4,R15</t>
  </si>
  <si>
    <t>10k</t>
  </si>
  <si>
    <t>R_Axial_DIN0207_L6.3mm_D2.5mm_P7.62mm_Horizontal</t>
  </si>
  <si>
    <t>R5</t>
  </si>
  <si>
    <t>1k (soft-stop series)</t>
  </si>
  <si>
    <t>R6</t>
  </si>
  <si>
    <t>10k (soft-stop pull-up)</t>
  </si>
  <si>
    <t>R7</t>
  </si>
  <si>
    <t>10k pull-down</t>
  </si>
  <si>
    <t>R8</t>
  </si>
  <si>
    <t>1k 1W</t>
  </si>
  <si>
    <t>R_Axial_DIN0411_L9.9mm_D3.6mm_P12.70mm_Horizontal</t>
  </si>
  <si>
    <t>R9</t>
  </si>
  <si>
    <t>10k pull-up</t>
  </si>
  <si>
    <t>R10</t>
  </si>
  <si>
    <t>2.2k (base)</t>
  </si>
  <si>
    <t>R11</t>
  </si>
  <si>
    <t>10k (base-emitter)</t>
  </si>
  <si>
    <t>R12</t>
  </si>
  <si>
    <t>1.5k pull-up</t>
  </si>
  <si>
    <t>R13</t>
  </si>
  <si>
    <t>1k series</t>
  </si>
  <si>
    <t>R14</t>
  </si>
  <si>
    <t>10k pull-down (DNP at first)</t>
  </si>
  <si>
    <t>DNP at first</t>
  </si>
  <si>
    <t>TP1,TP2</t>
  </si>
  <si>
    <t>TP</t>
  </si>
  <si>
    <t>TestPoint_Pad_D2.0mm</t>
  </si>
  <si>
    <t>No</t>
  </si>
  <si>
    <t>(not purchased: copper pad)</t>
  </si>
  <si>
    <t>U1</t>
  </si>
  <si>
    <t>Pimoroni Pico Plus 2 (header pins)</t>
  </si>
  <si>
    <t>RaspberryPi_Pico_Common_THT</t>
  </si>
  <si>
    <t>U2</t>
  </si>
  <si>
    <t>Pololu D42V55F8 8.4V 5A buck (servo rail)</t>
  </si>
  <si>
    <t>Pololu_D42V55Fx</t>
  </si>
  <si>
    <t>U3</t>
  </si>
  <si>
    <t>SparkFun BabyBuck 5V (AP63357) (Pico VSYS, Orbis)</t>
  </si>
  <si>
    <t>SparkFun_BabyBuck_5V</t>
  </si>
  <si>
    <t>U4</t>
  </si>
  <si>
    <t>FOD817A opto (TRIG_IN)</t>
  </si>
  <si>
    <t>DIP-4_W7.62mm</t>
  </si>
  <si>
    <t>Gauge</t>
  </si>
  <si>
    <t>47uF 16V (RS PRO LHK 5x7)</t>
  </si>
  <si>
    <t>C2,C4</t>
  </si>
  <si>
    <t>100nF 50V X7R (Vishay K104)</t>
  </si>
  <si>
    <t>C_Rect_L4.0mm_W2.5mm_P2.50mm</t>
  </si>
  <si>
    <t>10uF 10V tantalum (RS PRO CB, + to 3V3)</t>
  </si>
  <si>
    <t>CP_Radial_D5.0mm_P2.50mm</t>
  </si>
  <si>
    <t>C5,C6</t>
  </si>
  <si>
    <t>100nF 50V X7R (DNP)</t>
  </si>
  <si>
    <t>DNP by default; DNP by default</t>
  </si>
  <si>
    <t>LOOM from main board (4-wire I2C): GND, +5V, SDA, SCL</t>
  </si>
  <si>
    <t>LOOM OUT (pass-through, paralleled with J1): GND, +5V, SDA, SCL</t>
  </si>
  <si>
    <t>HB1 half-bridge #1 (on beam), 2x3: V V / SIG SIG / GND GND</t>
  </si>
  <si>
    <t>PinHeader_2x03_P2.54mm_Vertical</t>
  </si>
  <si>
    <t>HB2 half-bridge #2 (on beam), 2x3: V V / SIG SIG / GND GND</t>
  </si>
  <si>
    <t>R1,R2,R3,R4</t>
  </si>
  <si>
    <t>0R link</t>
  </si>
  <si>
    <t>R5,R6</t>
  </si>
  <si>
    <t>350R fixed</t>
  </si>
  <si>
    <t>3.3 V LDO: MCP1700-3302E/TO (TO-92: pin 1 GND, 2 VIN, 3 VOUT)</t>
  </si>
  <si>
    <t>Adafruit ADS122C04 #1 (I2C 0x40)</t>
  </si>
  <si>
    <t>Adafruit_ADS122C04_Breakout</t>
  </si>
  <si>
    <t>Adafruit ADS122C04 #2 (address jumper bridged)</t>
  </si>
  <si>
    <t>843-1575</t>
  </si>
  <si>
    <t>199-7658</t>
  </si>
  <si>
    <t>199-7601</t>
  </si>
  <si>
    <t>199-7660</t>
  </si>
  <si>
    <t>199-7606</t>
  </si>
  <si>
    <t>707-8669</t>
  </si>
  <si>
    <t>064479</t>
  </si>
  <si>
    <t>7670858</t>
  </si>
  <si>
    <t>2086581</t>
  </si>
  <si>
    <t>7670873</t>
  </si>
  <si>
    <t>ADA6432</t>
  </si>
  <si>
    <t>ThePiHut</t>
  </si>
  <si>
    <t>251-8682</t>
  </si>
  <si>
    <t>COM-21256</t>
  </si>
  <si>
    <t>647-9907</t>
  </si>
  <si>
    <t>181-5448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</si>
</sst>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£&quot;#,##0.00"/>
    <numFmt numFmtId="165" formatCode="&quot;£&quot;#,##0.00;\(&quot;£&quot;#,##0.00\);&quot;-&quot;"/>
    <numFmt numFmtId="166" formatCode="0;\-0;&quot;-&quot;"/>
  </numFmts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name val="Arial"/>
    </font>
    <font>
      <b/>
      <sz val="10"/>
      <color rgb="FFFFFFFF"/>
      <name val="Arial"/>
    </font>
    <font>
      <i/>
      <sz val="9"/>
      <name val="Arial"/>
    </font>
    <font>
      <b/>
      <sz val="10"/>
      <name val="Arial"/>
    </font>
    <font>
      <sz val="10"/>
      <color rgb="FF0000FF"/>
      <name val="Arial"/>
    </font>
  </fonts>
  <fills count="5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3" borderId="1" xfId="0" applyFont="1" applyFill="1" applyBorder="1"/>
    <xf numFmtId="0" fontId="2" fillId="0" borderId="0" xfId="0" applyFont="1"/>
    <xf numFmtId="0" fontId="2" fillId="0" borderId="1" xfId="0" applyFont="1" applyBorder="1"/>
    <xf numFmtId="9" fontId="5" fillId="0" borderId="1" xfId="0" applyNumberFormat="1" applyFont="1" applyBorder="1"/>
    <xf numFmtId="164" fontId="5" fillId="0" borderId="1" xfId="0" applyNumberFormat="1" applyFont="1" applyBorder="1"/>
    <xf numFmtId="0" fontId="3" fillId="2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5" fillId="4" borderId="1" xfId="0" applyFont="1" applyFill="1" applyBorder="1"/>
    <xf numFmtId="0" fontId="6" fillId="3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166" fontId="2" fillId="0" borderId="1" xfId="0" applyNumberFormat="1" applyFont="1" applyBorder="1" applyAlignment="1">
      <alignment horizontal="center" vertical="top"/>
    </xf>
    <xf numFmtId="166" fontId="6" fillId="3" borderId="1" xfId="0" applyNumberFormat="1" applyFont="1" applyFill="1" applyBorder="1" applyAlignment="1">
      <alignment horizontal="center" vertical="top"/>
    </xf>
    <xf numFmtId="164" fontId="6" fillId="3" borderId="1" xfId="0" applyNumberFormat="1" applyFont="1" applyFill="1" applyBorder="1" applyAlignment="1">
      <alignment vertical="top"/>
    </xf>
    <xf numFmtId="165" fontId="2" fillId="0" borderId="1" xfId="0" applyNumberFormat="1" applyFont="1" applyBorder="1" applyAlignment="1">
      <alignment vertical="top"/>
    </xf>
    <xf numFmtId="49" fontId="2" fillId="0" borderId="1" xfId="0" applyNumberFormat="1" applyFont="1" applyBorder="1" applyAlignment="1">
      <alignment vertical="top"/>
    </xf>
  </cellXfs>
  <cellStyles count="1">
    <cellStyle name="Normal" xfId="0" builtinId="0"/>
  </cellStyles>
  <dxfs count="3">
    <dxf>
      <font>
        <b/>
        <color rgb="FFC00000"/>
        <name val="Arial"/>
      </font>
    </dxf>
    <dxf>
      <fill>
        <patternFill patternType="solid">
          <bgColor rgb="FFFFEB9C"/>
        </patternFill>
      </fill>
    </dxf>
    <dxf>
      <fill>
        <patternFill patternType="solid"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2"/>
  <sheetViews>
    <sheetView tabSelected="1" zoomScale="90" workbookViewId="0">
      <pane xSplit="3" ySplit="11" topLeftCell="D28" activePane="bottomRight" state="frozen"/>
      <selection pane="topRight"/>
      <selection pane="bottomLeft"/>
      <selection pane="bottomRight" activeCell="M62" sqref="M62"/>
    </sheetView>
  </sheetViews>
  <sheetFormatPr defaultRowHeight="14.5" x14ac:dyDescent="0.35"/>
  <cols>
    <col min="1" max="1" width="13" customWidth="1"/>
    <col min="2" max="2" width="26" customWidth="1"/>
    <col min="3" max="4" width="40" customWidth="1"/>
    <col min="5" max="6" width="16" customWidth="1"/>
    <col min="7" max="8" width="9" customWidth="1"/>
    <col min="9" max="9" width="13" customWidth="1"/>
    <col min="10" max="12" width="9" customWidth="1"/>
    <col min="13" max="14" width="11" customWidth="1"/>
    <col min="15" max="15" width="18" customWidth="1"/>
    <col min="16" max="16" width="30" customWidth="1"/>
    <col min="17" max="17" width="60" customWidth="1"/>
  </cols>
  <sheetData>
    <row r="1" spans="1:17" ht="18" x14ac:dyDescent="0.4">
      <c r="A1" s="1" t="s">
        <v>0</v>
      </c>
    </row>
    <row r="2" spans="1:17" x14ac:dyDescent="0.35">
      <c r="A2" s="2" t="s">
        <v>1</v>
      </c>
    </row>
    <row r="3" spans="1:17" x14ac:dyDescent="0.35">
      <c r="A3" s="2" t="s">
        <v>2</v>
      </c>
      <c r="E3" s="3" t="s">
        <v>3</v>
      </c>
    </row>
    <row r="4" spans="1:17" x14ac:dyDescent="0.35">
      <c r="A4" s="2" t="s">
        <v>4</v>
      </c>
      <c r="B4" s="3" t="s">
        <v>5</v>
      </c>
      <c r="C4" s="4">
        <v>2</v>
      </c>
      <c r="E4" s="5" t="s">
        <v>6</v>
      </c>
      <c r="F4" s="6">
        <f>COUNTIF($A$12:$A$62,"Not ordered")+COUNTIF($A$12:$A$62,"Ordered")+COUNTIF($A$12:$A$62,"Received")+COUNTIF($A$12:$A$62,"Own stock")</f>
        <v>43</v>
      </c>
    </row>
    <row r="5" spans="1:17" x14ac:dyDescent="0.35">
      <c r="B5" s="3" t="s">
        <v>7</v>
      </c>
      <c r="C5" s="4">
        <v>2</v>
      </c>
      <c r="E5" s="5" t="s">
        <v>8</v>
      </c>
      <c r="F5" s="6">
        <f>COUNTIF($A$12:$A$62,"Not ordered")</f>
        <v>43</v>
      </c>
    </row>
    <row r="6" spans="1:17" x14ac:dyDescent="0.35">
      <c r="E6" s="5" t="s">
        <v>9</v>
      </c>
      <c r="F6" s="6">
        <f>COUNTIF($A$12:$A$62,"Ordered")</f>
        <v>0</v>
      </c>
    </row>
    <row r="7" spans="1:17" x14ac:dyDescent="0.35">
      <c r="E7" s="5" t="s">
        <v>10</v>
      </c>
      <c r="F7" s="6">
        <f>COUNTIF($A$12:$A$62,"Received")+COUNTIF($A$12:$A$62,"Own stock")</f>
        <v>0</v>
      </c>
    </row>
    <row r="8" spans="1:17" x14ac:dyDescent="0.35">
      <c r="E8" s="3" t="s">
        <v>11</v>
      </c>
      <c r="F8" s="7">
        <f>IF(F4=0,0,F7/F4)</f>
        <v>0</v>
      </c>
    </row>
    <row r="9" spans="1:17" x14ac:dyDescent="0.35">
      <c r="E9" s="3" t="s">
        <v>12</v>
      </c>
      <c r="F9" s="8">
        <f>SUM(N12:N62)</f>
        <v>349.47</v>
      </c>
    </row>
    <row r="11" spans="1:17" ht="42" customHeight="1" x14ac:dyDescent="0.35">
      <c r="A11" s="9" t="s">
        <v>13</v>
      </c>
      <c r="B11" s="9" t="s">
        <v>14</v>
      </c>
      <c r="C11" s="9" t="s">
        <v>15</v>
      </c>
      <c r="D11" s="9" t="s">
        <v>16</v>
      </c>
      <c r="E11" s="9" t="s">
        <v>17</v>
      </c>
      <c r="F11" s="9" t="s">
        <v>18</v>
      </c>
      <c r="G11" s="9" t="s">
        <v>19</v>
      </c>
      <c r="H11" s="9" t="s">
        <v>20</v>
      </c>
      <c r="I11" s="9" t="s">
        <v>21</v>
      </c>
      <c r="J11" s="9" t="s">
        <v>22</v>
      </c>
      <c r="K11" s="9" t="s">
        <v>23</v>
      </c>
      <c r="L11" s="9" t="s">
        <v>24</v>
      </c>
      <c r="M11" s="9" t="s">
        <v>25</v>
      </c>
      <c r="N11" s="9" t="s">
        <v>26</v>
      </c>
      <c r="O11" s="9" t="s">
        <v>27</v>
      </c>
      <c r="P11" s="9" t="s">
        <v>28</v>
      </c>
      <c r="Q11" s="9" t="s">
        <v>29</v>
      </c>
    </row>
    <row r="12" spans="1:17" x14ac:dyDescent="0.35">
      <c r="A12" s="10"/>
      <c r="B12" s="11" t="s">
        <v>30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spans="1:17" ht="25" x14ac:dyDescent="0.35">
      <c r="A13" s="12" t="s">
        <v>8</v>
      </c>
      <c r="B13" s="13" t="s">
        <v>30</v>
      </c>
      <c r="C13" s="14" t="s">
        <v>31</v>
      </c>
      <c r="D13" s="14" t="s">
        <v>32</v>
      </c>
      <c r="E13" s="13" t="s">
        <v>33</v>
      </c>
      <c r="F13" s="13"/>
      <c r="G13" s="15">
        <f>SUMIFS('Board BOM'!$C$5:$C$53,'Board BOM'!$A$5:$A$53,"Main",'Board BOM'!$G$5:$G$53,$C13,'Board BOM'!$F$5:$F$53,"Yes")</f>
        <v>1</v>
      </c>
      <c r="H13" s="15">
        <f>SUMIFS('Board BOM'!$C$5:$C$53,'Board BOM'!$A$5:$A$53,"Gauge",'Board BOM'!$G$5:$G$53,$C13,'Board BOM'!$F$5:$F$53,"Yes")</f>
        <v>0</v>
      </c>
      <c r="I13" s="16"/>
      <c r="J13" s="15">
        <f>G13*$C$4+H13*$C$5+I13</f>
        <v>2</v>
      </c>
      <c r="K13" s="16">
        <v>2</v>
      </c>
      <c r="L13" s="15">
        <f>MAX(J13-K13,0)</f>
        <v>0</v>
      </c>
      <c r="M13" s="17"/>
      <c r="N13" s="18">
        <f>K13*M13</f>
        <v>0</v>
      </c>
      <c r="O13" s="12"/>
      <c r="P13" s="14" t="s">
        <v>34</v>
      </c>
      <c r="Q13" s="14" t="s">
        <v>35</v>
      </c>
    </row>
    <row r="14" spans="1:17" x14ac:dyDescent="0.35">
      <c r="A14" s="12" t="s">
        <v>8</v>
      </c>
      <c r="B14" s="13" t="s">
        <v>30</v>
      </c>
      <c r="C14" s="14" t="s">
        <v>36</v>
      </c>
      <c r="D14" s="14" t="s">
        <v>37</v>
      </c>
      <c r="E14" s="13" t="s">
        <v>332</v>
      </c>
      <c r="F14" s="13" t="s">
        <v>334</v>
      </c>
      <c r="G14" s="15">
        <f>SUMIFS('Board BOM'!$C$5:$C$53,'Board BOM'!$A$5:$A$53,"Main",'Board BOM'!$G$5:$G$53,$C14,'Board BOM'!$F$5:$F$53,"Yes")</f>
        <v>1</v>
      </c>
      <c r="H14" s="15">
        <f>SUMIFS('Board BOM'!$C$5:$C$53,'Board BOM'!$A$5:$A$53,"Gauge",'Board BOM'!$G$5:$G$53,$C14,'Board BOM'!$F$5:$F$53,"Yes")</f>
        <v>0</v>
      </c>
      <c r="I14" s="16"/>
      <c r="J14" s="15">
        <f>G14*$C$4+H14*$C$5+I14</f>
        <v>2</v>
      </c>
      <c r="K14" s="16">
        <v>2</v>
      </c>
      <c r="L14" s="15">
        <f>MAX(J14-K14,0)</f>
        <v>0</v>
      </c>
      <c r="M14" s="17">
        <v>46.1</v>
      </c>
      <c r="N14" s="18">
        <f>K14*M14</f>
        <v>92.2</v>
      </c>
      <c r="O14" s="12"/>
      <c r="P14" s="14" t="s">
        <v>38</v>
      </c>
      <c r="Q14" s="14"/>
    </row>
    <row r="15" spans="1:17" x14ac:dyDescent="0.35">
      <c r="A15" s="12" t="s">
        <v>8</v>
      </c>
      <c r="B15" s="13" t="s">
        <v>30</v>
      </c>
      <c r="C15" s="14" t="s">
        <v>39</v>
      </c>
      <c r="D15" s="14" t="s">
        <v>40</v>
      </c>
      <c r="E15" s="13" t="s">
        <v>332</v>
      </c>
      <c r="F15" s="13" t="s">
        <v>334</v>
      </c>
      <c r="G15" s="15">
        <f>SUMIFS('Board BOM'!$C$5:$C$53,'Board BOM'!$A$5:$A$53,"Main",'Board BOM'!$G$5:$G$53,$C15,'Board BOM'!$F$5:$F$53,"Yes")</f>
        <v>1</v>
      </c>
      <c r="H15" s="15">
        <f>SUMIFS('Board BOM'!$C$5:$C$53,'Board BOM'!$A$5:$A$53,"Gauge",'Board BOM'!$G$5:$G$53,$C15,'Board BOM'!$F$5:$F$53,"Yes")</f>
        <v>0</v>
      </c>
      <c r="I15" s="16"/>
      <c r="J15" s="15">
        <f>G15*$C$4+H15*$C$5+I15</f>
        <v>2</v>
      </c>
      <c r="K15" s="16">
        <v>3</v>
      </c>
      <c r="L15" s="15">
        <f>MAX(J15-K15,0)</f>
        <v>0</v>
      </c>
      <c r="M15" s="17">
        <v>5.8</v>
      </c>
      <c r="N15" s="18">
        <f>K15*M15</f>
        <v>17.399999999999999</v>
      </c>
      <c r="O15" s="12"/>
      <c r="P15" s="14" t="s">
        <v>41</v>
      </c>
      <c r="Q15" s="14" t="s">
        <v>42</v>
      </c>
    </row>
    <row r="16" spans="1:17" x14ac:dyDescent="0.35">
      <c r="A16" s="10"/>
      <c r="B16" s="11" t="s">
        <v>43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 spans="1:17" x14ac:dyDescent="0.35">
      <c r="A17" s="12" t="s">
        <v>8</v>
      </c>
      <c r="B17" s="13" t="s">
        <v>43</v>
      </c>
      <c r="C17" s="14" t="s">
        <v>44</v>
      </c>
      <c r="D17" s="14" t="s">
        <v>45</v>
      </c>
      <c r="E17" s="13" t="s">
        <v>46</v>
      </c>
      <c r="F17" s="13" t="s">
        <v>47</v>
      </c>
      <c r="G17" s="15">
        <f>SUMIFS('Board BOM'!$C$5:$C$53,'Board BOM'!$A$5:$A$53,"Main",'Board BOM'!$G$5:$G$53,$C17,'Board BOM'!$F$5:$F$53,"Yes")</f>
        <v>1</v>
      </c>
      <c r="H17" s="15">
        <f>SUMIFS('Board BOM'!$C$5:$C$53,'Board BOM'!$A$5:$A$53,"Gauge",'Board BOM'!$G$5:$G$53,$C17,'Board BOM'!$F$5:$F$53,"Yes")</f>
        <v>0</v>
      </c>
      <c r="I17" s="16"/>
      <c r="J17" s="15">
        <f>G17*$C$4+H17*$C$5+I17</f>
        <v>2</v>
      </c>
      <c r="K17" s="16">
        <v>10</v>
      </c>
      <c r="L17" s="15">
        <f>MAX(J17-K17,0)</f>
        <v>0</v>
      </c>
      <c r="M17" s="17">
        <v>0.20300000000000001</v>
      </c>
      <c r="N17" s="18">
        <f>K17*M17</f>
        <v>2.0300000000000002</v>
      </c>
      <c r="O17" s="12"/>
      <c r="P17" s="14" t="s">
        <v>48</v>
      </c>
      <c r="Q17" s="14" t="s">
        <v>49</v>
      </c>
    </row>
    <row r="18" spans="1:17" x14ac:dyDescent="0.35">
      <c r="A18" s="12" t="s">
        <v>8</v>
      </c>
      <c r="B18" s="13" t="s">
        <v>43</v>
      </c>
      <c r="C18" s="14" t="s">
        <v>50</v>
      </c>
      <c r="D18" s="14" t="s">
        <v>51</v>
      </c>
      <c r="E18" s="13" t="s">
        <v>46</v>
      </c>
      <c r="F18" s="13" t="s">
        <v>321</v>
      </c>
      <c r="G18" s="15">
        <f>SUMIFS('Board BOM'!$C$5:$C$53,'Board BOM'!$A$5:$A$53,"Main",'Board BOM'!$G$5:$G$53,$C18,'Board BOM'!$F$5:$F$53,"Yes")</f>
        <v>1</v>
      </c>
      <c r="H18" s="15">
        <f>SUMIFS('Board BOM'!$C$5:$C$53,'Board BOM'!$A$5:$A$53,"Gauge",'Board BOM'!$G$5:$G$53,$C18,'Board BOM'!$F$5:$F$53,"Yes")</f>
        <v>0</v>
      </c>
      <c r="I18" s="16"/>
      <c r="J18" s="15">
        <f>G18*$C$4+H18*$C$5+I18</f>
        <v>2</v>
      </c>
      <c r="K18" s="16">
        <v>50</v>
      </c>
      <c r="L18" s="15">
        <f>MAX(J18-K18,0)</f>
        <v>0</v>
      </c>
      <c r="M18" s="17">
        <v>0.182</v>
      </c>
      <c r="N18" s="18">
        <f>K18*M18</f>
        <v>9.1</v>
      </c>
      <c r="O18" s="12"/>
      <c r="P18" s="14" t="s">
        <v>52</v>
      </c>
      <c r="Q18" s="14" t="s">
        <v>53</v>
      </c>
    </row>
    <row r="19" spans="1:17" x14ac:dyDescent="0.35">
      <c r="A19" s="12" t="s">
        <v>8</v>
      </c>
      <c r="B19" s="13" t="s">
        <v>43</v>
      </c>
      <c r="C19" s="14" t="s">
        <v>54</v>
      </c>
      <c r="D19" s="14" t="s">
        <v>55</v>
      </c>
      <c r="E19" s="13" t="s">
        <v>46</v>
      </c>
      <c r="F19" s="13" t="s">
        <v>56</v>
      </c>
      <c r="G19" s="15">
        <f>SUMIFS('Board BOM'!$C$5:$C$53,'Board BOM'!$A$5:$A$53,"Main",'Board BOM'!$G$5:$G$53,$C19,'Board BOM'!$F$5:$F$53,"Yes")</f>
        <v>1</v>
      </c>
      <c r="H19" s="15">
        <f>SUMIFS('Board BOM'!$C$5:$C$53,'Board BOM'!$A$5:$A$53,"Gauge",'Board BOM'!$G$5:$G$53,$C19,'Board BOM'!$F$5:$F$53,"Yes")</f>
        <v>0</v>
      </c>
      <c r="I19" s="16"/>
      <c r="J19" s="15">
        <f>G19*$C$4+H19*$C$5+I19</f>
        <v>2</v>
      </c>
      <c r="K19" s="16">
        <v>100</v>
      </c>
      <c r="L19" s="15">
        <f>MAX(J19-K19,0)</f>
        <v>0</v>
      </c>
      <c r="M19" s="17">
        <v>0.109</v>
      </c>
      <c r="N19" s="18">
        <f>K19*M19</f>
        <v>10.9</v>
      </c>
      <c r="O19" s="12"/>
      <c r="P19" s="14" t="s">
        <v>57</v>
      </c>
      <c r="Q19" s="14" t="s">
        <v>58</v>
      </c>
    </row>
    <row r="20" spans="1:17" x14ac:dyDescent="0.35">
      <c r="A20" s="12" t="s">
        <v>8</v>
      </c>
      <c r="B20" s="13" t="s">
        <v>43</v>
      </c>
      <c r="C20" s="14" t="s">
        <v>59</v>
      </c>
      <c r="D20" s="14" t="s">
        <v>60</v>
      </c>
      <c r="E20" s="13" t="s">
        <v>46</v>
      </c>
      <c r="F20" s="13" t="s">
        <v>61</v>
      </c>
      <c r="G20" s="15">
        <f>SUMIFS('Board BOM'!$C$5:$C$53,'Board BOM'!$A$5:$A$53,"Main",'Board BOM'!$G$5:$G$53,$C20,'Board BOM'!$F$5:$F$53,"Yes")</f>
        <v>2</v>
      </c>
      <c r="H20" s="15">
        <f>SUMIFS('Board BOM'!$C$5:$C$53,'Board BOM'!$A$5:$A$53,"Gauge",'Board BOM'!$G$5:$G$53,$C20,'Board BOM'!$F$5:$F$53,"Yes")</f>
        <v>0</v>
      </c>
      <c r="I20" s="16"/>
      <c r="J20" s="15">
        <f>G20*$C$4+H20*$C$5+I20</f>
        <v>4</v>
      </c>
      <c r="K20" s="16">
        <v>200</v>
      </c>
      <c r="L20" s="15">
        <f>MAX(J20-K20,0)</f>
        <v>0</v>
      </c>
      <c r="M20" s="17">
        <v>0.05</v>
      </c>
      <c r="N20" s="18">
        <f>K20*M20</f>
        <v>10</v>
      </c>
      <c r="O20" s="12"/>
      <c r="P20" s="14" t="s">
        <v>62</v>
      </c>
      <c r="Q20" s="14" t="s">
        <v>63</v>
      </c>
    </row>
    <row r="21" spans="1:17" ht="25" x14ac:dyDescent="0.35">
      <c r="A21" s="12" t="s">
        <v>8</v>
      </c>
      <c r="B21" s="13" t="s">
        <v>43</v>
      </c>
      <c r="C21" s="14" t="s">
        <v>64</v>
      </c>
      <c r="D21" s="14" t="s">
        <v>65</v>
      </c>
      <c r="E21" s="13" t="s">
        <v>46</v>
      </c>
      <c r="F21" s="13" t="s">
        <v>66</v>
      </c>
      <c r="G21" s="15">
        <f>SUMIFS('Board BOM'!$C$5:$C$53,'Board BOM'!$A$5:$A$53,"Main",'Board BOM'!$G$5:$G$53,$C21,'Board BOM'!$F$5:$F$53,"Yes")</f>
        <v>1</v>
      </c>
      <c r="H21" s="15">
        <f>SUMIFS('Board BOM'!$C$5:$C$53,'Board BOM'!$A$5:$A$53,"Gauge",'Board BOM'!$G$5:$G$53,$C21,'Board BOM'!$F$5:$F$53,"Yes")</f>
        <v>0</v>
      </c>
      <c r="I21" s="16"/>
      <c r="J21" s="15">
        <f>G21*$C$4+H21*$C$5+I21</f>
        <v>2</v>
      </c>
      <c r="K21" s="16">
        <v>100</v>
      </c>
      <c r="L21" s="15">
        <f>MAX(J21-K21,0)</f>
        <v>0</v>
      </c>
      <c r="M21" s="17">
        <v>0.06</v>
      </c>
      <c r="N21" s="18">
        <f>K21*M21</f>
        <v>6</v>
      </c>
      <c r="O21" s="12"/>
      <c r="P21" s="14" t="s">
        <v>67</v>
      </c>
      <c r="Q21" s="14" t="s">
        <v>68</v>
      </c>
    </row>
    <row r="22" spans="1:17" x14ac:dyDescent="0.35">
      <c r="A22" s="10"/>
      <c r="B22" s="11" t="s">
        <v>69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</row>
    <row r="23" spans="1:17" ht="25" x14ac:dyDescent="0.35">
      <c r="A23" s="12" t="s">
        <v>8</v>
      </c>
      <c r="B23" s="13" t="s">
        <v>69</v>
      </c>
      <c r="C23" s="14" t="s">
        <v>70</v>
      </c>
      <c r="D23" s="14" t="s">
        <v>71</v>
      </c>
      <c r="E23" s="13" t="s">
        <v>46</v>
      </c>
      <c r="F23" s="13" t="s">
        <v>336</v>
      </c>
      <c r="G23" s="15">
        <f>SUMIFS('Board BOM'!$C$5:$C$53,'Board BOM'!$A$5:$A$53,"Main",'Board BOM'!$G$5:$G$53,$C23,'Board BOM'!$F$5:$F$53,"Yes")</f>
        <v>1</v>
      </c>
      <c r="H23" s="15">
        <f>SUMIFS('Board BOM'!$C$5:$C$53,'Board BOM'!$A$5:$A$53,"Gauge",'Board BOM'!$G$5:$G$53,$C23,'Board BOM'!$F$5:$F$53,"Yes")</f>
        <v>0</v>
      </c>
      <c r="I23" s="16"/>
      <c r="J23" s="15">
        <f>G23*$C$4+H23*$C$5+I23</f>
        <v>2</v>
      </c>
      <c r="K23" s="16">
        <v>100</v>
      </c>
      <c r="L23" s="15">
        <f>MAX(J23-K23,0)</f>
        <v>0</v>
      </c>
      <c r="M23" s="17">
        <v>6.5000000000000002E-2</v>
      </c>
      <c r="N23" s="18">
        <f>K23*M23</f>
        <v>6.5</v>
      </c>
      <c r="O23" s="12"/>
      <c r="P23" s="14" t="s">
        <v>72</v>
      </c>
      <c r="Q23" s="14" t="s">
        <v>73</v>
      </c>
    </row>
    <row r="24" spans="1:17" ht="25" x14ac:dyDescent="0.35">
      <c r="A24" s="12" t="s">
        <v>8</v>
      </c>
      <c r="B24" s="13" t="s">
        <v>69</v>
      </c>
      <c r="C24" s="14" t="s">
        <v>74</v>
      </c>
      <c r="D24" s="14" t="s">
        <v>75</v>
      </c>
      <c r="E24" s="13" t="s">
        <v>46</v>
      </c>
      <c r="F24" s="13" t="s">
        <v>76</v>
      </c>
      <c r="G24" s="15">
        <f>SUMIFS('Board BOM'!$C$5:$C$53,'Board BOM'!$A$5:$A$53,"Main",'Board BOM'!$G$5:$G$53,$C24,'Board BOM'!$F$5:$F$53,"Yes")</f>
        <v>1</v>
      </c>
      <c r="H24" s="15">
        <f>SUMIFS('Board BOM'!$C$5:$C$53,'Board BOM'!$A$5:$A$53,"Gauge",'Board BOM'!$G$5:$G$53,$C24,'Board BOM'!$F$5:$F$53,"Yes")</f>
        <v>0</v>
      </c>
      <c r="I24" s="16"/>
      <c r="J24" s="15">
        <f>G24*$C$4+H24*$C$5+I24</f>
        <v>2</v>
      </c>
      <c r="K24" s="16">
        <v>10</v>
      </c>
      <c r="L24" s="15">
        <f>MAX(J24-K24,0)</f>
        <v>0</v>
      </c>
      <c r="M24" s="17">
        <v>0.29799999999999999</v>
      </c>
      <c r="N24" s="18">
        <f>K24*M24</f>
        <v>2.98</v>
      </c>
      <c r="O24" s="12"/>
      <c r="P24" s="14" t="s">
        <v>77</v>
      </c>
      <c r="Q24" s="14" t="s">
        <v>78</v>
      </c>
    </row>
    <row r="25" spans="1:17" x14ac:dyDescent="0.35">
      <c r="A25" s="12" t="s">
        <v>8</v>
      </c>
      <c r="B25" s="13" t="s">
        <v>69</v>
      </c>
      <c r="C25" s="14" t="s">
        <v>79</v>
      </c>
      <c r="D25" s="14" t="s">
        <v>80</v>
      </c>
      <c r="E25" s="13" t="s">
        <v>46</v>
      </c>
      <c r="F25" s="13" t="s">
        <v>81</v>
      </c>
      <c r="G25" s="15">
        <f>SUMIFS('Board BOM'!$C$5:$C$53,'Board BOM'!$A$5:$A$53,"Main",'Board BOM'!$G$5:$G$53,$C25,'Board BOM'!$F$5:$F$53,"Yes")</f>
        <v>1</v>
      </c>
      <c r="H25" s="15">
        <f>SUMIFS('Board BOM'!$C$5:$C$53,'Board BOM'!$A$5:$A$53,"Gauge",'Board BOM'!$G$5:$G$53,$C25,'Board BOM'!$F$5:$F$53,"Yes")</f>
        <v>0</v>
      </c>
      <c r="I25" s="16"/>
      <c r="J25" s="15">
        <f>G25*$C$4+H25*$C$5+I25</f>
        <v>2</v>
      </c>
      <c r="K25" s="16">
        <v>200</v>
      </c>
      <c r="L25" s="15">
        <f>MAX(J25-K25,0)</f>
        <v>0</v>
      </c>
      <c r="M25" s="17">
        <v>5.7000000000000002E-2</v>
      </c>
      <c r="N25" s="18">
        <f>K25*M25</f>
        <v>11.4</v>
      </c>
      <c r="O25" s="12"/>
      <c r="P25" s="14" t="s">
        <v>82</v>
      </c>
      <c r="Q25" s="14" t="s">
        <v>83</v>
      </c>
    </row>
    <row r="26" spans="1:17" x14ac:dyDescent="0.35">
      <c r="A26" s="10"/>
      <c r="B26" s="11" t="s">
        <v>84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</row>
    <row r="27" spans="1:17" ht="37.5" x14ac:dyDescent="0.35">
      <c r="A27" s="12" t="s">
        <v>8</v>
      </c>
      <c r="B27" s="13" t="s">
        <v>84</v>
      </c>
      <c r="C27" s="14" t="s">
        <v>85</v>
      </c>
      <c r="D27" s="14" t="s">
        <v>86</v>
      </c>
      <c r="E27" s="13" t="s">
        <v>46</v>
      </c>
      <c r="F27" s="13" t="s">
        <v>322</v>
      </c>
      <c r="G27" s="15">
        <f>SUMIFS('Board BOM'!$C$5:$C$53,'Board BOM'!$A$5:$A$53,"Main",'Board BOM'!$G$5:$G$53,$C27,'Board BOM'!$F$5:$F$53,"Yes")</f>
        <v>10</v>
      </c>
      <c r="H27" s="15">
        <f>SUMIFS('Board BOM'!$C$5:$C$53,'Board BOM'!$A$5:$A$53,"Gauge",'Board BOM'!$G$5:$G$53,$C27,'Board BOM'!$F$5:$F$53,"Yes")</f>
        <v>0</v>
      </c>
      <c r="I27" s="16"/>
      <c r="J27" s="15">
        <f t="shared" ref="J27:J33" si="0">G27*$C$4+H27*$C$5+I27</f>
        <v>20</v>
      </c>
      <c r="K27" s="16">
        <v>100</v>
      </c>
      <c r="L27" s="15">
        <f t="shared" ref="L27:L33" si="1">MAX(J27-K27,0)</f>
        <v>0</v>
      </c>
      <c r="M27" s="17">
        <v>1.7999999999999999E-2</v>
      </c>
      <c r="N27" s="18">
        <f t="shared" ref="N27:N33" si="2">K27*M27</f>
        <v>1.7999999999999998</v>
      </c>
      <c r="O27" s="12"/>
      <c r="P27" s="14" t="s">
        <v>87</v>
      </c>
      <c r="Q27" s="14" t="s">
        <v>88</v>
      </c>
    </row>
    <row r="28" spans="1:17" x14ac:dyDescent="0.35">
      <c r="A28" s="12" t="s">
        <v>8</v>
      </c>
      <c r="B28" s="13" t="s">
        <v>84</v>
      </c>
      <c r="C28" s="14" t="s">
        <v>89</v>
      </c>
      <c r="D28" s="14" t="s">
        <v>86</v>
      </c>
      <c r="E28" s="13" t="s">
        <v>46</v>
      </c>
      <c r="F28" s="13" t="s">
        <v>323</v>
      </c>
      <c r="G28" s="15">
        <f>SUMIFS('Board BOM'!$C$5:$C$53,'Board BOM'!$A$5:$A$53,"Main",'Board BOM'!$G$5:$G$53,$C28,'Board BOM'!$F$5:$F$53,"Yes")</f>
        <v>2</v>
      </c>
      <c r="H28" s="15">
        <f>SUMIFS('Board BOM'!$C$5:$C$53,'Board BOM'!$A$5:$A$53,"Gauge",'Board BOM'!$G$5:$G$53,$C28,'Board BOM'!$F$5:$F$53,"Yes")</f>
        <v>0</v>
      </c>
      <c r="I28" s="16"/>
      <c r="J28" s="15">
        <f t="shared" si="0"/>
        <v>4</v>
      </c>
      <c r="K28" s="16">
        <v>100</v>
      </c>
      <c r="L28" s="15">
        <f t="shared" si="1"/>
        <v>0</v>
      </c>
      <c r="M28" s="17">
        <v>1.7999999999999999E-2</v>
      </c>
      <c r="N28" s="18">
        <f t="shared" si="2"/>
        <v>1.7999999999999998</v>
      </c>
      <c r="O28" s="12"/>
      <c r="P28" s="14" t="s">
        <v>90</v>
      </c>
      <c r="Q28" s="14"/>
    </row>
    <row r="29" spans="1:17" x14ac:dyDescent="0.35">
      <c r="A29" s="12" t="s">
        <v>8</v>
      </c>
      <c r="B29" s="13" t="s">
        <v>84</v>
      </c>
      <c r="C29" s="14" t="s">
        <v>91</v>
      </c>
      <c r="D29" s="14" t="s">
        <v>86</v>
      </c>
      <c r="E29" s="13" t="s">
        <v>46</v>
      </c>
      <c r="F29" s="13" t="s">
        <v>324</v>
      </c>
      <c r="G29" s="15">
        <f>SUMIFS('Board BOM'!$C$5:$C$53,'Board BOM'!$A$5:$A$53,"Main",'Board BOM'!$G$5:$G$53,$C29,'Board BOM'!$F$5:$F$53,"Yes")</f>
        <v>1</v>
      </c>
      <c r="H29" s="15">
        <f>SUMIFS('Board BOM'!$C$5:$C$53,'Board BOM'!$A$5:$A$53,"Gauge",'Board BOM'!$G$5:$G$53,$C29,'Board BOM'!$F$5:$F$53,"Yes")</f>
        <v>0</v>
      </c>
      <c r="I29" s="16"/>
      <c r="J29" s="15">
        <f t="shared" si="0"/>
        <v>2</v>
      </c>
      <c r="K29" s="16">
        <v>100</v>
      </c>
      <c r="L29" s="15">
        <f t="shared" si="1"/>
        <v>0</v>
      </c>
      <c r="M29" s="17">
        <v>1.7999999999999999E-2</v>
      </c>
      <c r="N29" s="18">
        <f t="shared" si="2"/>
        <v>1.7999999999999998</v>
      </c>
      <c r="O29" s="12"/>
      <c r="P29" s="14" t="s">
        <v>92</v>
      </c>
      <c r="Q29" s="14" t="s">
        <v>93</v>
      </c>
    </row>
    <row r="30" spans="1:17" x14ac:dyDescent="0.35">
      <c r="A30" s="12" t="s">
        <v>8</v>
      </c>
      <c r="B30" s="13" t="s">
        <v>84</v>
      </c>
      <c r="C30" s="14" t="s">
        <v>94</v>
      </c>
      <c r="D30" s="14" t="s">
        <v>86</v>
      </c>
      <c r="E30" s="13" t="s">
        <v>46</v>
      </c>
      <c r="F30" s="13" t="s">
        <v>325</v>
      </c>
      <c r="G30" s="15">
        <f>SUMIFS('Board BOM'!$C$5:$C$53,'Board BOM'!$A$5:$A$53,"Main",'Board BOM'!$G$5:$G$53,$C30,'Board BOM'!$F$5:$F$53,"Yes")</f>
        <v>1</v>
      </c>
      <c r="H30" s="15">
        <f>SUMIFS('Board BOM'!$C$5:$C$53,'Board BOM'!$A$5:$A$53,"Gauge",'Board BOM'!$G$5:$G$53,$C30,'Board BOM'!$F$5:$F$53,"Yes")</f>
        <v>0</v>
      </c>
      <c r="I30" s="16"/>
      <c r="J30" s="15">
        <f t="shared" si="0"/>
        <v>2</v>
      </c>
      <c r="K30" s="16">
        <v>100</v>
      </c>
      <c r="L30" s="15">
        <f t="shared" si="1"/>
        <v>0</v>
      </c>
      <c r="M30" s="17">
        <v>1.7999999999999999E-2</v>
      </c>
      <c r="N30" s="18">
        <f t="shared" si="2"/>
        <v>1.7999999999999998</v>
      </c>
      <c r="O30" s="12"/>
      <c r="P30" s="14" t="s">
        <v>95</v>
      </c>
      <c r="Q30" s="14" t="s">
        <v>96</v>
      </c>
    </row>
    <row r="31" spans="1:17" x14ac:dyDescent="0.35">
      <c r="A31" s="12" t="s">
        <v>8</v>
      </c>
      <c r="B31" s="13" t="s">
        <v>84</v>
      </c>
      <c r="C31" s="14" t="s">
        <v>97</v>
      </c>
      <c r="D31" s="14" t="s">
        <v>98</v>
      </c>
      <c r="E31" s="13" t="s">
        <v>46</v>
      </c>
      <c r="F31" s="13" t="s">
        <v>326</v>
      </c>
      <c r="G31" s="15">
        <f>SUMIFS('Board BOM'!$C$5:$C$53,'Board BOM'!$A$5:$A$53,"Main",'Board BOM'!$G$5:$G$53,$C31,'Board BOM'!$F$5:$F$53,"Yes")</f>
        <v>1</v>
      </c>
      <c r="H31" s="15">
        <f>SUMIFS('Board BOM'!$C$5:$C$53,'Board BOM'!$A$5:$A$53,"Gauge",'Board BOM'!$G$5:$G$53,$C31,'Board BOM'!$F$5:$F$53,"Yes")</f>
        <v>0</v>
      </c>
      <c r="I31" s="16"/>
      <c r="J31" s="15">
        <f t="shared" si="0"/>
        <v>2</v>
      </c>
      <c r="K31" s="16">
        <v>10</v>
      </c>
      <c r="L31" s="15">
        <f t="shared" si="1"/>
        <v>0</v>
      </c>
      <c r="M31" s="17">
        <v>0.218</v>
      </c>
      <c r="N31" s="18">
        <f t="shared" si="2"/>
        <v>2.1800000000000002</v>
      </c>
      <c r="O31" s="12"/>
      <c r="P31" s="14" t="s">
        <v>99</v>
      </c>
      <c r="Q31" s="14" t="s">
        <v>100</v>
      </c>
    </row>
    <row r="32" spans="1:17" x14ac:dyDescent="0.35">
      <c r="A32" s="12" t="s">
        <v>8</v>
      </c>
      <c r="B32" s="13" t="s">
        <v>84</v>
      </c>
      <c r="C32" s="14" t="s">
        <v>101</v>
      </c>
      <c r="D32" s="14" t="s">
        <v>86</v>
      </c>
      <c r="E32" s="13" t="s">
        <v>46</v>
      </c>
      <c r="F32" s="13"/>
      <c r="G32" s="15">
        <f>SUMIFS('Board BOM'!$C$5:$C$53,'Board BOM'!$A$5:$A$53,"Main",'Board BOM'!$G$5:$G$53,$C32,'Board BOM'!$F$5:$F$53,"Yes")</f>
        <v>0</v>
      </c>
      <c r="H32" s="15">
        <f>SUMIFS('Board BOM'!$C$5:$C$53,'Board BOM'!$A$5:$A$53,"Gauge",'Board BOM'!$G$5:$G$53,$C32,'Board BOM'!$F$5:$F$53,"Yes")</f>
        <v>4</v>
      </c>
      <c r="I32" s="16"/>
      <c r="J32" s="15">
        <f t="shared" si="0"/>
        <v>8</v>
      </c>
      <c r="K32" s="16">
        <v>8</v>
      </c>
      <c r="L32" s="15">
        <f t="shared" si="1"/>
        <v>0</v>
      </c>
      <c r="M32" s="17">
        <v>0</v>
      </c>
      <c r="N32" s="18">
        <f t="shared" si="2"/>
        <v>0</v>
      </c>
      <c r="O32" s="12"/>
      <c r="P32" s="14" t="s">
        <v>102</v>
      </c>
      <c r="Q32" s="14" t="s">
        <v>103</v>
      </c>
    </row>
    <row r="33" spans="1:17" x14ac:dyDescent="0.35">
      <c r="A33" s="12" t="s">
        <v>8</v>
      </c>
      <c r="B33" s="13" t="s">
        <v>84</v>
      </c>
      <c r="C33" s="14" t="s">
        <v>104</v>
      </c>
      <c r="D33" s="14" t="s">
        <v>86</v>
      </c>
      <c r="E33" s="13" t="s">
        <v>105</v>
      </c>
      <c r="F33" s="13"/>
      <c r="G33" s="15">
        <f>SUMIFS('Board BOM'!$C$5:$C$53,'Board BOM'!$A$5:$A$53,"Main",'Board BOM'!$G$5:$G$53,$C33,'Board BOM'!$F$5:$F$53,"Yes")</f>
        <v>0</v>
      </c>
      <c r="H33" s="15">
        <f>SUMIFS('Board BOM'!$C$5:$C$53,'Board BOM'!$A$5:$A$53,"Gauge",'Board BOM'!$G$5:$G$53,$C33,'Board BOM'!$F$5:$F$53,"Yes")</f>
        <v>2</v>
      </c>
      <c r="I33" s="16"/>
      <c r="J33" s="15">
        <f t="shared" si="0"/>
        <v>4</v>
      </c>
      <c r="K33" s="16">
        <v>4</v>
      </c>
      <c r="L33" s="15">
        <f t="shared" si="1"/>
        <v>0</v>
      </c>
      <c r="M33" s="17"/>
      <c r="N33" s="18">
        <f t="shared" si="2"/>
        <v>0</v>
      </c>
      <c r="O33" s="12"/>
      <c r="P33" s="14" t="s">
        <v>106</v>
      </c>
      <c r="Q33" s="14" t="s">
        <v>107</v>
      </c>
    </row>
    <row r="34" spans="1:17" x14ac:dyDescent="0.35">
      <c r="A34" s="10"/>
      <c r="B34" s="11" t="s">
        <v>108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</row>
    <row r="35" spans="1:17" x14ac:dyDescent="0.35">
      <c r="A35" s="12" t="s">
        <v>8</v>
      </c>
      <c r="B35" s="13" t="s">
        <v>108</v>
      </c>
      <c r="C35" s="14" t="s">
        <v>109</v>
      </c>
      <c r="D35" s="14" t="s">
        <v>110</v>
      </c>
      <c r="E35" s="13"/>
      <c r="F35" s="19" t="s">
        <v>328</v>
      </c>
      <c r="G35" s="15">
        <f>SUMIFS('Board BOM'!$C$5:$C$53,'Board BOM'!$A$5:$A$53,"Main",'Board BOM'!$G$5:$G$53,$C35,'Board BOM'!$F$5:$F$53,"Yes")</f>
        <v>1</v>
      </c>
      <c r="H35" s="15">
        <f>SUMIFS('Board BOM'!$C$5:$C$53,'Board BOM'!$A$5:$A$53,"Gauge",'Board BOM'!$G$5:$G$53,$C35,'Board BOM'!$F$5:$F$53,"Yes")</f>
        <v>0</v>
      </c>
      <c r="I35" s="16"/>
      <c r="J35" s="15">
        <f t="shared" ref="J35:J40" si="3">G35*$C$4+H35*$C$5+I35</f>
        <v>2</v>
      </c>
      <c r="K35" s="16">
        <v>10</v>
      </c>
      <c r="L35" s="15">
        <f t="shared" ref="L35:L40" si="4">MAX(J35-K35,0)</f>
        <v>0</v>
      </c>
      <c r="M35" s="17">
        <v>0.14000000000000001</v>
      </c>
      <c r="N35" s="18">
        <f t="shared" ref="N35:N40" si="5">K35*M35</f>
        <v>1.4000000000000001</v>
      </c>
      <c r="O35" s="12"/>
      <c r="P35" s="14" t="s">
        <v>111</v>
      </c>
      <c r="Q35" s="14" t="s">
        <v>112</v>
      </c>
    </row>
    <row r="36" spans="1:17" ht="25" x14ac:dyDescent="0.35">
      <c r="A36" s="12" t="s">
        <v>8</v>
      </c>
      <c r="B36" s="13" t="s">
        <v>108</v>
      </c>
      <c r="C36" s="14" t="s">
        <v>113</v>
      </c>
      <c r="D36" s="14" t="s">
        <v>110</v>
      </c>
      <c r="E36" s="13"/>
      <c r="F36" s="19" t="s">
        <v>327</v>
      </c>
      <c r="G36" s="15">
        <f>SUMIFS('Board BOM'!$C$5:$C$53,'Board BOM'!$A$5:$A$53,"Main",'Board BOM'!$G$5:$G$53,$C36,'Board BOM'!$F$5:$F$53,"Yes")</f>
        <v>4</v>
      </c>
      <c r="H36" s="15">
        <f>SUMIFS('Board BOM'!$C$5:$C$53,'Board BOM'!$A$5:$A$53,"Gauge",'Board BOM'!$G$5:$G$53,$C36,'Board BOM'!$F$5:$F$53,"Yes")</f>
        <v>2</v>
      </c>
      <c r="I36" s="16"/>
      <c r="J36" s="15">
        <f t="shared" si="3"/>
        <v>12</v>
      </c>
      <c r="K36" s="16">
        <v>20</v>
      </c>
      <c r="L36" s="15">
        <f t="shared" si="4"/>
        <v>0</v>
      </c>
      <c r="M36" s="17">
        <v>0.16</v>
      </c>
      <c r="N36" s="18">
        <f t="shared" si="5"/>
        <v>3.2</v>
      </c>
      <c r="O36" s="12"/>
      <c r="P36" s="14" t="s">
        <v>114</v>
      </c>
      <c r="Q36" s="14" t="s">
        <v>115</v>
      </c>
    </row>
    <row r="37" spans="1:17" x14ac:dyDescent="0.35">
      <c r="A37" s="12" t="s">
        <v>8</v>
      </c>
      <c r="B37" s="13" t="s">
        <v>108</v>
      </c>
      <c r="C37" s="14" t="s">
        <v>116</v>
      </c>
      <c r="D37" s="14" t="s">
        <v>110</v>
      </c>
      <c r="E37" s="13"/>
      <c r="F37" s="19">
        <v>2001739</v>
      </c>
      <c r="G37" s="15">
        <f>SUMIFS('Board BOM'!$C$5:$C$53,'Board BOM'!$A$5:$A$53,"Main",'Board BOM'!$G$5:$G$53,$C37,'Board BOM'!$F$5:$F$53,"Yes")</f>
        <v>1</v>
      </c>
      <c r="H37" s="15">
        <f>SUMIFS('Board BOM'!$C$5:$C$53,'Board BOM'!$A$5:$A$53,"Gauge",'Board BOM'!$G$5:$G$53,$C37,'Board BOM'!$F$5:$F$53,"Yes")</f>
        <v>0</v>
      </c>
      <c r="I37" s="16"/>
      <c r="J37" s="15">
        <f t="shared" si="3"/>
        <v>2</v>
      </c>
      <c r="K37" s="16">
        <v>5</v>
      </c>
      <c r="L37" s="15">
        <f t="shared" si="4"/>
        <v>0</v>
      </c>
      <c r="M37" s="17">
        <v>0.34</v>
      </c>
      <c r="N37" s="18">
        <f t="shared" si="5"/>
        <v>1.7000000000000002</v>
      </c>
      <c r="O37" s="12"/>
      <c r="P37" s="14" t="s">
        <v>117</v>
      </c>
      <c r="Q37" s="14" t="s">
        <v>118</v>
      </c>
    </row>
    <row r="38" spans="1:17" x14ac:dyDescent="0.35">
      <c r="A38" s="12" t="s">
        <v>8</v>
      </c>
      <c r="B38" s="13" t="s">
        <v>108</v>
      </c>
      <c r="C38" s="14" t="s">
        <v>119</v>
      </c>
      <c r="D38" s="14" t="s">
        <v>110</v>
      </c>
      <c r="E38" s="13"/>
      <c r="F38" s="19" t="s">
        <v>329</v>
      </c>
      <c r="G38" s="15">
        <f>SUMIFS('Board BOM'!$C$5:$C$53,'Board BOM'!$A$5:$A$53,"Main",'Board BOM'!$G$5:$G$53,$C38,'Board BOM'!$F$5:$F$53,"Yes")</f>
        <v>0</v>
      </c>
      <c r="H38" s="15">
        <f>SUMIFS('Board BOM'!$C$5:$C$53,'Board BOM'!$A$5:$A$53,"Gauge",'Board BOM'!$G$5:$G$53,$C38,'Board BOM'!$F$5:$F$53,"Yes")</f>
        <v>2</v>
      </c>
      <c r="I38" s="16"/>
      <c r="J38" s="15">
        <f t="shared" si="3"/>
        <v>4</v>
      </c>
      <c r="K38" s="16">
        <v>10</v>
      </c>
      <c r="L38" s="15">
        <f t="shared" si="4"/>
        <v>0</v>
      </c>
      <c r="M38" s="17">
        <v>0.31</v>
      </c>
      <c r="N38" s="18">
        <f t="shared" si="5"/>
        <v>3.1</v>
      </c>
      <c r="O38" s="12"/>
      <c r="P38" s="14" t="s">
        <v>120</v>
      </c>
      <c r="Q38" s="14" t="s">
        <v>121</v>
      </c>
    </row>
    <row r="39" spans="1:17" x14ac:dyDescent="0.35">
      <c r="A39" s="12" t="s">
        <v>8</v>
      </c>
      <c r="B39" s="13" t="s">
        <v>108</v>
      </c>
      <c r="C39" s="14" t="s">
        <v>122</v>
      </c>
      <c r="D39" s="14" t="s">
        <v>110</v>
      </c>
      <c r="E39" s="13"/>
      <c r="F39" s="19" t="s">
        <v>330</v>
      </c>
      <c r="G39" s="15">
        <f>SUMIFS('Board BOM'!$C$5:$C$53,'Board BOM'!$A$5:$A$53,"Main",'Board BOM'!$G$5:$G$53,$C39,'Board BOM'!$F$5:$F$53,"Yes")</f>
        <v>4</v>
      </c>
      <c r="H39" s="15">
        <f>SUMIFS('Board BOM'!$C$5:$C$53,'Board BOM'!$A$5:$A$53,"Gauge",'Board BOM'!$G$5:$G$53,$C39,'Board BOM'!$F$5:$F$53,"Yes")</f>
        <v>0</v>
      </c>
      <c r="I39" s="16"/>
      <c r="J39" s="15">
        <f t="shared" si="3"/>
        <v>8</v>
      </c>
      <c r="K39" s="16">
        <v>20</v>
      </c>
      <c r="L39" s="15">
        <f t="shared" si="4"/>
        <v>0</v>
      </c>
      <c r="M39" s="17">
        <v>0.37</v>
      </c>
      <c r="N39" s="18">
        <f t="shared" si="5"/>
        <v>7.4</v>
      </c>
      <c r="O39" s="12"/>
      <c r="P39" s="14" t="s">
        <v>123</v>
      </c>
      <c r="Q39" s="14" t="s">
        <v>124</v>
      </c>
    </row>
    <row r="40" spans="1:17" ht="25" x14ac:dyDescent="0.35">
      <c r="A40" s="12" t="s">
        <v>8</v>
      </c>
      <c r="B40" s="13" t="s">
        <v>108</v>
      </c>
      <c r="C40" s="14" t="s">
        <v>125</v>
      </c>
      <c r="D40" s="14" t="s">
        <v>126</v>
      </c>
      <c r="E40" s="13"/>
      <c r="F40" s="19">
        <v>2001753</v>
      </c>
      <c r="G40" s="15">
        <f>SUMIFS('Board BOM'!$C$5:$C$53,'Board BOM'!$A$5:$A$53,"Main",'Board BOM'!$G$5:$G$53,$C40,'Board BOM'!$F$5:$F$53,"Yes")</f>
        <v>1</v>
      </c>
      <c r="H40" s="15">
        <f>SUMIFS('Board BOM'!$C$5:$C$53,'Board BOM'!$A$5:$A$53,"Gauge",'Board BOM'!$G$5:$G$53,$C40,'Board BOM'!$F$5:$F$53,"Yes")</f>
        <v>0</v>
      </c>
      <c r="I40" s="16"/>
      <c r="J40" s="15">
        <f t="shared" si="3"/>
        <v>2</v>
      </c>
      <c r="K40" s="16">
        <v>4</v>
      </c>
      <c r="L40" s="15">
        <f t="shared" si="4"/>
        <v>0</v>
      </c>
      <c r="M40" s="17">
        <v>1.01</v>
      </c>
      <c r="N40" s="18">
        <f t="shared" si="5"/>
        <v>4.04</v>
      </c>
      <c r="O40" s="12"/>
      <c r="P40" s="14" t="s">
        <v>127</v>
      </c>
      <c r="Q40" s="14" t="s">
        <v>128</v>
      </c>
    </row>
    <row r="41" spans="1:17" x14ac:dyDescent="0.35">
      <c r="A41" s="10"/>
      <c r="B41" s="11" t="s">
        <v>129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</row>
    <row r="42" spans="1:17" x14ac:dyDescent="0.35">
      <c r="A42" s="12" t="s">
        <v>8</v>
      </c>
      <c r="B42" s="13" t="s">
        <v>129</v>
      </c>
      <c r="C42" s="14" t="s">
        <v>130</v>
      </c>
      <c r="D42" s="14" t="s">
        <v>131</v>
      </c>
      <c r="E42" s="13" t="s">
        <v>46</v>
      </c>
      <c r="F42" s="13" t="s">
        <v>132</v>
      </c>
      <c r="G42" s="15">
        <f>SUMIFS('Board BOM'!$C$5:$C$53,'Board BOM'!$A$5:$A$53,"Main",'Board BOM'!$G$5:$G$53,$C42,'Board BOM'!$F$5:$F$53,"Yes")</f>
        <v>0</v>
      </c>
      <c r="H42" s="15">
        <f>SUMIFS('Board BOM'!$C$5:$C$53,'Board BOM'!$A$5:$A$53,"Gauge",'Board BOM'!$G$5:$G$53,$C42,'Board BOM'!$F$5:$F$53,"Yes")</f>
        <v>1</v>
      </c>
      <c r="I42" s="16"/>
      <c r="J42" s="15">
        <f>G42*$C$4+H42*$C$5+I42</f>
        <v>2</v>
      </c>
      <c r="K42" s="16">
        <v>10</v>
      </c>
      <c r="L42" s="15">
        <f>MAX(J42-K42,0)</f>
        <v>0</v>
      </c>
      <c r="M42" s="17">
        <v>0.375</v>
      </c>
      <c r="N42" s="18">
        <f>K42*M42</f>
        <v>3.75</v>
      </c>
      <c r="O42" s="12"/>
      <c r="P42" s="14" t="s">
        <v>133</v>
      </c>
      <c r="Q42" s="14" t="s">
        <v>134</v>
      </c>
    </row>
    <row r="43" spans="1:17" x14ac:dyDescent="0.35">
      <c r="A43" s="12" t="s">
        <v>8</v>
      </c>
      <c r="B43" s="13" t="s">
        <v>129</v>
      </c>
      <c r="C43" s="14" t="s">
        <v>135</v>
      </c>
      <c r="D43" s="14" t="s">
        <v>136</v>
      </c>
      <c r="E43" s="13" t="s">
        <v>46</v>
      </c>
      <c r="F43" s="13" t="s">
        <v>137</v>
      </c>
      <c r="G43" s="15">
        <f>SUMIFS('Board BOM'!$C$5:$C$53,'Board BOM'!$A$5:$A$53,"Main",'Board BOM'!$G$5:$G$53,$C43,'Board BOM'!$F$5:$F$53,"Yes")</f>
        <v>0</v>
      </c>
      <c r="H43" s="15">
        <f>SUMIFS('Board BOM'!$C$5:$C$53,'Board BOM'!$A$5:$A$53,"Gauge",'Board BOM'!$G$5:$G$53,$C43,'Board BOM'!$F$5:$F$53,"Yes")</f>
        <v>1</v>
      </c>
      <c r="I43" s="16"/>
      <c r="J43" s="15">
        <f>G43*$C$4+H43*$C$5+I43</f>
        <v>2</v>
      </c>
      <c r="K43" s="16">
        <v>100</v>
      </c>
      <c r="L43" s="15">
        <f>MAX(J43-K43,0)</f>
        <v>0</v>
      </c>
      <c r="M43" s="17">
        <v>6.0999999999999999E-2</v>
      </c>
      <c r="N43" s="18">
        <f>K43*M43</f>
        <v>6.1</v>
      </c>
      <c r="O43" s="12"/>
      <c r="P43" s="14" t="s">
        <v>138</v>
      </c>
      <c r="Q43" s="14" t="s">
        <v>139</v>
      </c>
    </row>
    <row r="44" spans="1:17" x14ac:dyDescent="0.35">
      <c r="A44" s="12" t="s">
        <v>8</v>
      </c>
      <c r="B44" s="13" t="s">
        <v>129</v>
      </c>
      <c r="C44" s="14" t="s">
        <v>140</v>
      </c>
      <c r="D44" s="14" t="s">
        <v>141</v>
      </c>
      <c r="E44" s="13" t="s">
        <v>46</v>
      </c>
      <c r="F44" s="13" t="s">
        <v>142</v>
      </c>
      <c r="G44" s="15">
        <f>SUMIFS('Board BOM'!$C$5:$C$53,'Board BOM'!$A$5:$A$53,"Main",'Board BOM'!$G$5:$G$53,$C44,'Board BOM'!$F$5:$F$53,"Yes")</f>
        <v>0</v>
      </c>
      <c r="H44" s="15">
        <f>SUMIFS('Board BOM'!$C$5:$C$53,'Board BOM'!$A$5:$A$53,"Gauge",'Board BOM'!$G$5:$G$53,$C44,'Board BOM'!$F$5:$F$53,"Yes")</f>
        <v>1</v>
      </c>
      <c r="I44" s="16"/>
      <c r="J44" s="15">
        <f>G44*$C$4+H44*$C$5+I44</f>
        <v>2</v>
      </c>
      <c r="K44" s="16">
        <v>50</v>
      </c>
      <c r="L44" s="15">
        <f>MAX(J44-K44,0)</f>
        <v>0</v>
      </c>
      <c r="M44" s="17">
        <v>0.3</v>
      </c>
      <c r="N44" s="18">
        <f>K44*M44</f>
        <v>15</v>
      </c>
      <c r="O44" s="12"/>
      <c r="P44" s="14" t="s">
        <v>143</v>
      </c>
      <c r="Q44" s="14" t="s">
        <v>144</v>
      </c>
    </row>
    <row r="45" spans="1:17" ht="25" x14ac:dyDescent="0.35">
      <c r="A45" s="12" t="s">
        <v>8</v>
      </c>
      <c r="B45" s="13" t="s">
        <v>129</v>
      </c>
      <c r="C45" s="14" t="s">
        <v>145</v>
      </c>
      <c r="D45" s="14" t="s">
        <v>146</v>
      </c>
      <c r="E45" s="13" t="s">
        <v>46</v>
      </c>
      <c r="F45" s="13" t="s">
        <v>147</v>
      </c>
      <c r="G45" s="15">
        <f>SUMIFS('Board BOM'!$C$5:$C$53,'Board BOM'!$A$5:$A$53,"Main",'Board BOM'!$G$5:$G$53,$C45,'Board BOM'!$F$5:$F$53,"Yes")</f>
        <v>0</v>
      </c>
      <c r="H45" s="15">
        <f>SUMIFS('Board BOM'!$C$5:$C$53,'Board BOM'!$A$5:$A$53,"Gauge",'Board BOM'!$G$5:$G$53,$C45,'Board BOM'!$F$5:$F$53,"Yes")</f>
        <v>4</v>
      </c>
      <c r="I45" s="16"/>
      <c r="J45" s="15">
        <f>G45*$C$4+H45*$C$5+I45</f>
        <v>8</v>
      </c>
      <c r="K45" s="16">
        <v>50</v>
      </c>
      <c r="L45" s="15">
        <f>MAX(J45-K45,0)</f>
        <v>0</v>
      </c>
      <c r="M45" s="17">
        <v>8.3000000000000004E-2</v>
      </c>
      <c r="N45" s="18">
        <f>K45*M45</f>
        <v>4.1500000000000004</v>
      </c>
      <c r="O45" s="12"/>
      <c r="P45" s="14" t="s">
        <v>148</v>
      </c>
      <c r="Q45" s="14" t="s">
        <v>149</v>
      </c>
    </row>
    <row r="46" spans="1:17" x14ac:dyDescent="0.35">
      <c r="A46" s="12" t="s">
        <v>8</v>
      </c>
      <c r="B46" s="13" t="s">
        <v>129</v>
      </c>
      <c r="C46" s="14" t="s">
        <v>150</v>
      </c>
      <c r="D46" s="14" t="s">
        <v>151</v>
      </c>
      <c r="E46" s="13" t="s">
        <v>332</v>
      </c>
      <c r="F46" s="13" t="s">
        <v>331</v>
      </c>
      <c r="G46" s="15">
        <f>SUMIFS('Board BOM'!$C$5:$C$53,'Board BOM'!$A$5:$A$53,"Main",'Board BOM'!$G$5:$G$53,$C46,'Board BOM'!$F$5:$F$53,"Yes")</f>
        <v>0</v>
      </c>
      <c r="H46" s="15">
        <f>SUMIFS('Board BOM'!$C$5:$C$53,'Board BOM'!$A$5:$A$53,"Gauge",'Board BOM'!$G$5:$G$53,$C46,'Board BOM'!$F$5:$F$53,"Yes")</f>
        <v>2</v>
      </c>
      <c r="I46" s="16"/>
      <c r="J46" s="15">
        <f>G46*$C$4+H46*$C$5+I46</f>
        <v>4</v>
      </c>
      <c r="K46" s="16">
        <v>6</v>
      </c>
      <c r="L46" s="15">
        <f>MAX(J46-K46,0)</f>
        <v>0</v>
      </c>
      <c r="M46" s="17">
        <v>19.2</v>
      </c>
      <c r="N46" s="18">
        <f>K46*M46</f>
        <v>115.19999999999999</v>
      </c>
      <c r="O46" s="12"/>
      <c r="P46" s="14" t="s">
        <v>152</v>
      </c>
      <c r="Q46" s="14" t="s">
        <v>153</v>
      </c>
    </row>
    <row r="47" spans="1:17" x14ac:dyDescent="0.35">
      <c r="A47" s="10"/>
      <c r="B47" s="11" t="s">
        <v>154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</row>
    <row r="48" spans="1:17" ht="25" x14ac:dyDescent="0.35">
      <c r="A48" s="12" t="s">
        <v>8</v>
      </c>
      <c r="B48" s="13" t="s">
        <v>154</v>
      </c>
      <c r="C48" s="14" t="s">
        <v>155</v>
      </c>
      <c r="D48" s="14" t="s">
        <v>156</v>
      </c>
      <c r="E48" s="13" t="s">
        <v>33</v>
      </c>
      <c r="F48" s="13"/>
      <c r="G48" s="15">
        <f>SUMIFS('Board BOM'!$C$5:$C$53,'Board BOM'!$A$5:$A$53,"Main",'Board BOM'!$G$5:$G$53,$C48,'Board BOM'!$F$5:$F$53,"Yes")</f>
        <v>0</v>
      </c>
      <c r="H48" s="15">
        <f>SUMIFS('Board BOM'!$C$5:$C$53,'Board BOM'!$A$5:$A$53,"Gauge",'Board BOM'!$G$5:$G$53,$C48,'Board BOM'!$F$5:$F$53,"Yes")</f>
        <v>0</v>
      </c>
      <c r="I48" s="16">
        <v>1</v>
      </c>
      <c r="J48" s="15">
        <f t="shared" ref="J48:J55" si="6">G48*$C$4+H48*$C$5+I48</f>
        <v>1</v>
      </c>
      <c r="K48" s="16">
        <v>1</v>
      </c>
      <c r="L48" s="15">
        <f t="shared" ref="L48:L55" si="7">MAX(J48-K48,0)</f>
        <v>0</v>
      </c>
      <c r="M48" s="17"/>
      <c r="N48" s="18">
        <f t="shared" ref="N48:N55" si="8">K48*M48</f>
        <v>0</v>
      </c>
      <c r="O48" s="12"/>
      <c r="P48" s="14"/>
      <c r="Q48" s="14" t="s">
        <v>157</v>
      </c>
    </row>
    <row r="49" spans="1:17" ht="25" x14ac:dyDescent="0.35">
      <c r="A49" s="12" t="s">
        <v>8</v>
      </c>
      <c r="B49" s="13" t="s">
        <v>154</v>
      </c>
      <c r="C49" s="14" t="s">
        <v>158</v>
      </c>
      <c r="D49" s="14" t="s">
        <v>159</v>
      </c>
      <c r="E49" s="13" t="s">
        <v>160</v>
      </c>
      <c r="F49" s="13"/>
      <c r="G49" s="15">
        <f>SUMIFS('Board BOM'!$C$5:$C$53,'Board BOM'!$A$5:$A$53,"Main",'Board BOM'!$G$5:$G$53,$C49,'Board BOM'!$F$5:$F$53,"Yes")</f>
        <v>0</v>
      </c>
      <c r="H49" s="15">
        <f>SUMIFS('Board BOM'!$C$5:$C$53,'Board BOM'!$A$5:$A$53,"Gauge",'Board BOM'!$G$5:$G$53,$C49,'Board BOM'!$F$5:$F$53,"Yes")</f>
        <v>0</v>
      </c>
      <c r="I49" s="16">
        <v>1</v>
      </c>
      <c r="J49" s="15">
        <f t="shared" si="6"/>
        <v>1</v>
      </c>
      <c r="K49" s="16">
        <v>1</v>
      </c>
      <c r="L49" s="15">
        <f t="shared" si="7"/>
        <v>0</v>
      </c>
      <c r="M49" s="17"/>
      <c r="N49" s="18">
        <f t="shared" si="8"/>
        <v>0</v>
      </c>
      <c r="O49" s="12"/>
      <c r="P49" s="14"/>
      <c r="Q49" s="14" t="s">
        <v>157</v>
      </c>
    </row>
    <row r="50" spans="1:17" x14ac:dyDescent="0.35">
      <c r="A50" s="12" t="s">
        <v>8</v>
      </c>
      <c r="B50" s="13" t="s">
        <v>154</v>
      </c>
      <c r="C50" s="14" t="s">
        <v>161</v>
      </c>
      <c r="D50" s="14" t="s">
        <v>162</v>
      </c>
      <c r="E50" s="13"/>
      <c r="F50" s="13"/>
      <c r="G50" s="15">
        <f>SUMIFS('Board BOM'!$C$5:$C$53,'Board BOM'!$A$5:$A$53,"Main",'Board BOM'!$G$5:$G$53,$C50,'Board BOM'!$F$5:$F$53,"Yes")</f>
        <v>0</v>
      </c>
      <c r="H50" s="15">
        <f>SUMIFS('Board BOM'!$C$5:$C$53,'Board BOM'!$A$5:$A$53,"Gauge",'Board BOM'!$G$5:$G$53,$C50,'Board BOM'!$F$5:$F$53,"Yes")</f>
        <v>0</v>
      </c>
      <c r="I50" s="16">
        <v>2</v>
      </c>
      <c r="J50" s="15">
        <f t="shared" si="6"/>
        <v>2</v>
      </c>
      <c r="K50" s="16"/>
      <c r="L50" s="15">
        <f t="shared" si="7"/>
        <v>2</v>
      </c>
      <c r="M50" s="17"/>
      <c r="N50" s="18">
        <f t="shared" si="8"/>
        <v>0</v>
      </c>
      <c r="O50" s="12"/>
      <c r="P50" s="14"/>
      <c r="Q50" s="14" t="s">
        <v>163</v>
      </c>
    </row>
    <row r="51" spans="1:17" x14ac:dyDescent="0.35">
      <c r="A51" s="12" t="s">
        <v>8</v>
      </c>
      <c r="B51" s="13" t="s">
        <v>154</v>
      </c>
      <c r="C51" s="14" t="s">
        <v>164</v>
      </c>
      <c r="D51" s="14" t="s">
        <v>165</v>
      </c>
      <c r="E51" s="13" t="s">
        <v>166</v>
      </c>
      <c r="F51" s="13"/>
      <c r="G51" s="15">
        <f>SUMIFS('Board BOM'!$C$5:$C$53,'Board BOM'!$A$5:$A$53,"Main",'Board BOM'!$G$5:$G$53,$C51,'Board BOM'!$F$5:$F$53,"Yes")</f>
        <v>0</v>
      </c>
      <c r="H51" s="15">
        <f>SUMIFS('Board BOM'!$C$5:$C$53,'Board BOM'!$A$5:$A$53,"Gauge",'Board BOM'!$G$5:$G$53,$C51,'Board BOM'!$F$5:$F$53,"Yes")</f>
        <v>0</v>
      </c>
      <c r="I51" s="16">
        <v>1</v>
      </c>
      <c r="J51" s="15">
        <f t="shared" si="6"/>
        <v>1</v>
      </c>
      <c r="K51" s="16">
        <v>1</v>
      </c>
      <c r="L51" s="15">
        <f t="shared" si="7"/>
        <v>0</v>
      </c>
      <c r="M51" s="17"/>
      <c r="N51" s="18">
        <f t="shared" si="8"/>
        <v>0</v>
      </c>
      <c r="O51" s="12"/>
      <c r="P51" s="14"/>
      <c r="Q51" s="14" t="s">
        <v>167</v>
      </c>
    </row>
    <row r="52" spans="1:17" ht="25" x14ac:dyDescent="0.35">
      <c r="A52" s="12" t="s">
        <v>8</v>
      </c>
      <c r="B52" s="13" t="s">
        <v>154</v>
      </c>
      <c r="C52" s="14" t="s">
        <v>168</v>
      </c>
      <c r="D52" s="14" t="s">
        <v>169</v>
      </c>
      <c r="E52" s="13" t="s">
        <v>166</v>
      </c>
      <c r="F52" s="13"/>
      <c r="G52" s="15">
        <f>SUMIFS('Board BOM'!$C$5:$C$53,'Board BOM'!$A$5:$A$53,"Main",'Board BOM'!$G$5:$G$53,$C52,'Board BOM'!$F$5:$F$53,"Yes")</f>
        <v>0</v>
      </c>
      <c r="H52" s="15">
        <f>SUMIFS('Board BOM'!$C$5:$C$53,'Board BOM'!$A$5:$A$53,"Gauge",'Board BOM'!$G$5:$G$53,$C52,'Board BOM'!$F$5:$F$53,"Yes")</f>
        <v>0</v>
      </c>
      <c r="I52" s="16">
        <v>2</v>
      </c>
      <c r="J52" s="15">
        <f t="shared" si="6"/>
        <v>2</v>
      </c>
      <c r="K52" s="16">
        <v>2</v>
      </c>
      <c r="L52" s="15">
        <f t="shared" si="7"/>
        <v>0</v>
      </c>
      <c r="M52" s="17"/>
      <c r="N52" s="18">
        <f t="shared" si="8"/>
        <v>0</v>
      </c>
      <c r="O52" s="12"/>
      <c r="P52" s="14"/>
      <c r="Q52" s="14" t="s">
        <v>170</v>
      </c>
    </row>
    <row r="53" spans="1:17" x14ac:dyDescent="0.35">
      <c r="A53" s="12" t="s">
        <v>8</v>
      </c>
      <c r="B53" s="13" t="s">
        <v>154</v>
      </c>
      <c r="C53" s="14" t="s">
        <v>171</v>
      </c>
      <c r="D53" s="14" t="s">
        <v>172</v>
      </c>
      <c r="E53" s="13" t="s">
        <v>166</v>
      </c>
      <c r="F53" s="13"/>
      <c r="G53" s="15">
        <f>SUMIFS('Board BOM'!$C$5:$C$53,'Board BOM'!$A$5:$A$53,"Main",'Board BOM'!$G$5:$G$53,$C53,'Board BOM'!$F$5:$F$53,"Yes")</f>
        <v>0</v>
      </c>
      <c r="H53" s="15">
        <f>SUMIFS('Board BOM'!$C$5:$C$53,'Board BOM'!$A$5:$A$53,"Gauge",'Board BOM'!$G$5:$G$53,$C53,'Board BOM'!$F$5:$F$53,"Yes")</f>
        <v>0</v>
      </c>
      <c r="I53" s="16">
        <v>2</v>
      </c>
      <c r="J53" s="15">
        <f t="shared" si="6"/>
        <v>2</v>
      </c>
      <c r="K53" s="16">
        <v>2</v>
      </c>
      <c r="L53" s="15">
        <f t="shared" si="7"/>
        <v>0</v>
      </c>
      <c r="M53" s="17"/>
      <c r="N53" s="18">
        <f t="shared" si="8"/>
        <v>0</v>
      </c>
      <c r="O53" s="12"/>
      <c r="P53" s="14"/>
      <c r="Q53" s="14" t="s">
        <v>173</v>
      </c>
    </row>
    <row r="54" spans="1:17" x14ac:dyDescent="0.35">
      <c r="A54" s="12" t="s">
        <v>8</v>
      </c>
      <c r="B54" s="13" t="s">
        <v>154</v>
      </c>
      <c r="C54" s="14" t="s">
        <v>174</v>
      </c>
      <c r="D54" s="14" t="s">
        <v>175</v>
      </c>
      <c r="E54" s="13"/>
      <c r="F54" s="13"/>
      <c r="G54" s="15">
        <f>SUMIFS('Board BOM'!$C$5:$C$53,'Board BOM'!$A$5:$A$53,"Main",'Board BOM'!$G$5:$G$53,$C54,'Board BOM'!$F$5:$F$53,"Yes")</f>
        <v>0</v>
      </c>
      <c r="H54" s="15">
        <f>SUMIFS('Board BOM'!$C$5:$C$53,'Board BOM'!$A$5:$A$53,"Gauge",'Board BOM'!$G$5:$G$53,$C54,'Board BOM'!$F$5:$F$53,"Yes")</f>
        <v>0</v>
      </c>
      <c r="I54" s="16">
        <v>6</v>
      </c>
      <c r="J54" s="15">
        <f t="shared" si="6"/>
        <v>6</v>
      </c>
      <c r="K54" s="16">
        <v>6</v>
      </c>
      <c r="L54" s="15">
        <f t="shared" si="7"/>
        <v>0</v>
      </c>
      <c r="M54" s="17"/>
      <c r="N54" s="18">
        <f t="shared" si="8"/>
        <v>0</v>
      </c>
      <c r="O54" s="12"/>
      <c r="P54" s="14"/>
      <c r="Q54" s="14" t="s">
        <v>176</v>
      </c>
    </row>
    <row r="55" spans="1:17" x14ac:dyDescent="0.35">
      <c r="A55" s="12" t="s">
        <v>8</v>
      </c>
      <c r="B55" s="13" t="s">
        <v>154</v>
      </c>
      <c r="C55" s="14" t="s">
        <v>177</v>
      </c>
      <c r="D55" s="14" t="s">
        <v>178</v>
      </c>
      <c r="E55" s="13"/>
      <c r="F55" s="13"/>
      <c r="G55" s="15">
        <f>SUMIFS('Board BOM'!$C$5:$C$53,'Board BOM'!$A$5:$A$53,"Main",'Board BOM'!$G$5:$G$53,$C55,'Board BOM'!$F$5:$F$53,"Yes")</f>
        <v>0</v>
      </c>
      <c r="H55" s="15">
        <f>SUMIFS('Board BOM'!$C$5:$C$53,'Board BOM'!$A$5:$A$53,"Gauge",'Board BOM'!$G$5:$G$53,$C55,'Board BOM'!$F$5:$F$53,"Yes")</f>
        <v>0</v>
      </c>
      <c r="I55" s="16">
        <v>1</v>
      </c>
      <c r="J55" s="15">
        <f t="shared" si="6"/>
        <v>1</v>
      </c>
      <c r="K55" s="16">
        <v>1</v>
      </c>
      <c r="L55" s="15">
        <f t="shared" si="7"/>
        <v>0</v>
      </c>
      <c r="M55" s="17"/>
      <c r="N55" s="18">
        <f t="shared" si="8"/>
        <v>0</v>
      </c>
      <c r="O55" s="12"/>
      <c r="P55" s="14"/>
      <c r="Q55" s="14" t="s">
        <v>179</v>
      </c>
    </row>
    <row r="56" spans="1:17" x14ac:dyDescent="0.35">
      <c r="A56" s="10"/>
      <c r="B56" s="11" t="s">
        <v>180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</row>
    <row r="57" spans="1:17" x14ac:dyDescent="0.35">
      <c r="A57" s="12" t="s">
        <v>8</v>
      </c>
      <c r="B57" s="13" t="s">
        <v>180</v>
      </c>
      <c r="C57" s="14" t="s">
        <v>181</v>
      </c>
      <c r="D57" s="14" t="s">
        <v>182</v>
      </c>
      <c r="E57" s="13" t="s">
        <v>46</v>
      </c>
      <c r="F57" s="13" t="s">
        <v>333</v>
      </c>
      <c r="G57" s="15">
        <f>SUMIFS('Board BOM'!$C$5:$C$53,'Board BOM'!$A$5:$A$53,"Main",'Board BOM'!$G$5:$G$53,$C57,'Board BOM'!$F$5:$F$53,"Yes")</f>
        <v>0</v>
      </c>
      <c r="H57" s="15">
        <f>SUMIFS('Board BOM'!$C$5:$C$53,'Board BOM'!$A$5:$A$53,"Gauge",'Board BOM'!$G$5:$G$53,$C57,'Board BOM'!$F$5:$F$53,"Yes")</f>
        <v>0</v>
      </c>
      <c r="I57" s="16">
        <v>1</v>
      </c>
      <c r="J57" s="15">
        <f t="shared" ref="J57:J62" si="9">G57*$C$4+H57*$C$5+I57</f>
        <v>1</v>
      </c>
      <c r="K57" s="16">
        <v>10</v>
      </c>
      <c r="L57" s="15">
        <f t="shared" ref="L57:L62" si="10">MAX(J57-K57,0)</f>
        <v>0</v>
      </c>
      <c r="M57" s="17">
        <v>0.43</v>
      </c>
      <c r="N57" s="18">
        <f t="shared" ref="N57:N62" si="11">K57*M57</f>
        <v>4.3</v>
      </c>
      <c r="O57" s="12"/>
      <c r="P57" s="14"/>
      <c r="Q57" s="14" t="s">
        <v>183</v>
      </c>
    </row>
    <row r="58" spans="1:17" ht="37.5" x14ac:dyDescent="0.35">
      <c r="A58" s="12" t="s">
        <v>8</v>
      </c>
      <c r="B58" s="13" t="s">
        <v>180</v>
      </c>
      <c r="C58" s="14" t="s">
        <v>184</v>
      </c>
      <c r="D58" s="14" t="s">
        <v>185</v>
      </c>
      <c r="E58" s="13"/>
      <c r="F58" s="13"/>
      <c r="G58" s="15">
        <f>SUMIFS('Board BOM'!$C$5:$C$53,'Board BOM'!$A$5:$A$53,"Main",'Board BOM'!$G$5:$G$53,$C58,'Board BOM'!$F$5:$F$53,"Yes")</f>
        <v>0</v>
      </c>
      <c r="H58" s="15">
        <f>SUMIFS('Board BOM'!$C$5:$C$53,'Board BOM'!$A$5:$A$53,"Gauge",'Board BOM'!$G$5:$G$53,$C58,'Board BOM'!$F$5:$F$53,"Yes")</f>
        <v>0</v>
      </c>
      <c r="I58" s="16"/>
      <c r="J58" s="15">
        <f t="shared" si="9"/>
        <v>0</v>
      </c>
      <c r="K58" s="16"/>
      <c r="L58" s="15">
        <f t="shared" si="10"/>
        <v>0</v>
      </c>
      <c r="M58" s="17"/>
      <c r="N58" s="18">
        <f t="shared" si="11"/>
        <v>0</v>
      </c>
      <c r="O58" s="12"/>
      <c r="P58" s="14"/>
      <c r="Q58" s="14" t="s">
        <v>186</v>
      </c>
    </row>
    <row r="59" spans="1:17" x14ac:dyDescent="0.35">
      <c r="A59" s="12" t="s">
        <v>8</v>
      </c>
      <c r="B59" s="13" t="s">
        <v>180</v>
      </c>
      <c r="C59" s="14" t="s">
        <v>187</v>
      </c>
      <c r="D59" s="14"/>
      <c r="E59" s="13" t="s">
        <v>46</v>
      </c>
      <c r="F59" s="13" t="s">
        <v>335</v>
      </c>
      <c r="G59" s="15">
        <f>SUMIFS('Board BOM'!$C$5:$C$53,'Board BOM'!$A$5:$A$53,"Main",'Board BOM'!$G$5:$G$53,$C59,'Board BOM'!$F$5:$F$53,"Yes")</f>
        <v>0</v>
      </c>
      <c r="H59" s="15">
        <f>SUMIFS('Board BOM'!$C$5:$C$53,'Board BOM'!$A$5:$A$53,"Gauge",'Board BOM'!$G$5:$G$53,$C59,'Board BOM'!$F$5:$F$53,"Yes")</f>
        <v>0</v>
      </c>
      <c r="I59" s="16">
        <v>1</v>
      </c>
      <c r="J59" s="15">
        <f t="shared" si="9"/>
        <v>1</v>
      </c>
      <c r="K59" s="16">
        <v>10</v>
      </c>
      <c r="L59" s="15">
        <f t="shared" si="10"/>
        <v>0</v>
      </c>
      <c r="M59" s="17">
        <v>0.224</v>
      </c>
      <c r="N59" s="18">
        <f t="shared" si="11"/>
        <v>2.2400000000000002</v>
      </c>
      <c r="O59" s="12"/>
      <c r="P59" s="14"/>
      <c r="Q59" s="14" t="s">
        <v>157</v>
      </c>
    </row>
    <row r="60" spans="1:17" x14ac:dyDescent="0.35">
      <c r="A60" s="12" t="s">
        <v>8</v>
      </c>
      <c r="B60" s="13" t="s">
        <v>180</v>
      </c>
      <c r="C60" s="14" t="s">
        <v>188</v>
      </c>
      <c r="D60" s="14" t="s">
        <v>189</v>
      </c>
      <c r="E60" s="13"/>
      <c r="F60" s="13"/>
      <c r="G60" s="15">
        <f>SUMIFS('Board BOM'!$C$5:$C$53,'Board BOM'!$A$5:$A$53,"Main",'Board BOM'!$G$5:$G$53,$C60,'Board BOM'!$F$5:$F$53,"Yes")</f>
        <v>0</v>
      </c>
      <c r="H60" s="15">
        <f>SUMIFS('Board BOM'!$C$5:$C$53,'Board BOM'!$A$5:$A$53,"Gauge",'Board BOM'!$G$5:$G$53,$C60,'Board BOM'!$F$5:$F$53,"Yes")</f>
        <v>0</v>
      </c>
      <c r="I60" s="16"/>
      <c r="J60" s="15">
        <f t="shared" si="9"/>
        <v>0</v>
      </c>
      <c r="K60" s="16"/>
      <c r="L60" s="15">
        <f t="shared" si="10"/>
        <v>0</v>
      </c>
      <c r="M60" s="17"/>
      <c r="N60" s="18">
        <f t="shared" si="11"/>
        <v>0</v>
      </c>
      <c r="O60" s="12"/>
      <c r="P60" s="14"/>
      <c r="Q60" s="14"/>
    </row>
    <row r="61" spans="1:17" x14ac:dyDescent="0.35">
      <c r="A61" s="12" t="s">
        <v>8</v>
      </c>
      <c r="B61" s="13" t="s">
        <v>180</v>
      </c>
      <c r="C61" s="14" t="s">
        <v>190</v>
      </c>
      <c r="D61" s="14" t="s">
        <v>191</v>
      </c>
      <c r="E61" s="13"/>
      <c r="F61" s="13"/>
      <c r="G61" s="15">
        <f>SUMIFS('Board BOM'!$C$5:$C$53,'Board BOM'!$A$5:$A$53,"Main",'Board BOM'!$G$5:$G$53,$C61,'Board BOM'!$F$5:$F$53,"Yes")</f>
        <v>0</v>
      </c>
      <c r="H61" s="15">
        <f>SUMIFS('Board BOM'!$C$5:$C$53,'Board BOM'!$A$5:$A$53,"Gauge",'Board BOM'!$G$5:$G$53,$C61,'Board BOM'!$F$5:$F$53,"Yes")</f>
        <v>0</v>
      </c>
      <c r="I61" s="16">
        <f>4*$C$4+4*$C$5</f>
        <v>16</v>
      </c>
      <c r="J61" s="15">
        <f t="shared" si="9"/>
        <v>16</v>
      </c>
      <c r="K61" s="16"/>
      <c r="L61" s="15">
        <f t="shared" si="10"/>
        <v>16</v>
      </c>
      <c r="M61" s="17"/>
      <c r="N61" s="18">
        <f t="shared" si="11"/>
        <v>0</v>
      </c>
      <c r="O61" s="12"/>
      <c r="P61" s="14"/>
      <c r="Q61" s="14" t="s">
        <v>192</v>
      </c>
    </row>
    <row r="62" spans="1:17" ht="25" x14ac:dyDescent="0.35">
      <c r="A62" s="12" t="s">
        <v>8</v>
      </c>
      <c r="B62" s="13" t="s">
        <v>180</v>
      </c>
      <c r="C62" s="14" t="s">
        <v>193</v>
      </c>
      <c r="D62" s="14" t="s">
        <v>194</v>
      </c>
      <c r="E62" s="13"/>
      <c r="F62" s="13"/>
      <c r="G62" s="15">
        <f>SUMIFS('Board BOM'!$C$5:$C$53,'Board BOM'!$A$5:$A$53,"Main",'Board BOM'!$G$5:$G$53,$C62,'Board BOM'!$F$5:$F$53,"Yes")</f>
        <v>0</v>
      </c>
      <c r="H62" s="15">
        <f>SUMIFS('Board BOM'!$C$5:$C$53,'Board BOM'!$A$5:$A$53,"Gauge",'Board BOM'!$G$5:$G$53,$C62,'Board BOM'!$F$5:$F$53,"Yes")</f>
        <v>0</v>
      </c>
      <c r="I62" s="16">
        <v>1</v>
      </c>
      <c r="J62" s="15">
        <f t="shared" si="9"/>
        <v>1</v>
      </c>
      <c r="K62" s="16"/>
      <c r="L62" s="15">
        <f t="shared" si="10"/>
        <v>1</v>
      </c>
      <c r="M62" s="17"/>
      <c r="N62" s="18">
        <f t="shared" si="11"/>
        <v>0</v>
      </c>
      <c r="O62" s="12"/>
      <c r="P62" s="14"/>
      <c r="Q62" s="14"/>
    </row>
  </sheetData>
  <autoFilter ref="A11:Q62" xr:uid="{00000000-0009-0000-0000-000000000000}"/>
  <conditionalFormatting sqref="A12:Q62">
    <cfRule type="expression" dxfId="2" priority="1">
      <formula>OR($A12="Received",$A12="Own stock")</formula>
    </cfRule>
    <cfRule type="expression" dxfId="1" priority="2">
      <formula>$A12="Ordered"</formula>
    </cfRule>
  </conditionalFormatting>
  <conditionalFormatting sqref="L12:L62">
    <cfRule type="expression" dxfId="0" priority="3">
      <formula>AND($J12&gt;0,$L12&gt;0,$A12="Not ordered")</formula>
    </cfRule>
  </conditionalFormatting>
  <dataValidations count="1">
    <dataValidation type="list" errorTitle="Status" error="Pick one of: Not ordered, Ordered, Received, Own stock" sqref="A12:A62" xr:uid="{00000000-0002-0000-0000-000000000000}">
      <formula1>"Not ordered,Ordered,Received,Own stock"</formula1>
    </dataValidation>
  </dataValidations>
  <pageMargins left="0.75" right="0.75" top="1" bottom="1" header="0.5" footer="0.5"/>
  <pageSetup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3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8" customWidth="1"/>
    <col min="2" max="2" width="22" customWidth="1"/>
    <col min="3" max="3" width="6" customWidth="1"/>
    <col min="4" max="4" width="52" customWidth="1"/>
    <col min="5" max="5" width="44" customWidth="1"/>
    <col min="6" max="6" width="7" customWidth="1"/>
    <col min="7" max="7" width="52" customWidth="1"/>
    <col min="8" max="8" width="22" customWidth="1"/>
  </cols>
  <sheetData>
    <row r="1" spans="1:8" ht="18" x14ac:dyDescent="0.4">
      <c r="A1" s="1" t="s">
        <v>195</v>
      </c>
    </row>
    <row r="2" spans="1:8" x14ac:dyDescent="0.35">
      <c r="A2" s="5" t="s">
        <v>196</v>
      </c>
    </row>
    <row r="4" spans="1:8" x14ac:dyDescent="0.35">
      <c r="A4" s="9" t="s">
        <v>197</v>
      </c>
      <c r="B4" s="9" t="s">
        <v>198</v>
      </c>
      <c r="C4" s="9" t="s">
        <v>199</v>
      </c>
      <c r="D4" s="9" t="s">
        <v>200</v>
      </c>
      <c r="E4" s="9" t="s">
        <v>201</v>
      </c>
      <c r="F4" s="9" t="s">
        <v>202</v>
      </c>
      <c r="G4" s="9" t="s">
        <v>203</v>
      </c>
      <c r="H4" s="9" t="s">
        <v>204</v>
      </c>
    </row>
    <row r="5" spans="1:8" x14ac:dyDescent="0.35">
      <c r="A5" s="13" t="s">
        <v>205</v>
      </c>
      <c r="B5" s="14" t="s">
        <v>206</v>
      </c>
      <c r="C5" s="13">
        <v>1</v>
      </c>
      <c r="D5" s="14" t="s">
        <v>207</v>
      </c>
      <c r="E5" s="14" t="s">
        <v>208</v>
      </c>
      <c r="F5" s="13" t="s">
        <v>209</v>
      </c>
      <c r="G5" s="13" t="s">
        <v>70</v>
      </c>
      <c r="H5" s="14"/>
    </row>
    <row r="6" spans="1:8" x14ac:dyDescent="0.35">
      <c r="A6" s="13" t="s">
        <v>205</v>
      </c>
      <c r="B6" s="14" t="s">
        <v>210</v>
      </c>
      <c r="C6" s="13">
        <v>1</v>
      </c>
      <c r="D6" s="14" t="s">
        <v>211</v>
      </c>
      <c r="E6" s="14" t="s">
        <v>212</v>
      </c>
      <c r="F6" s="13" t="s">
        <v>209</v>
      </c>
      <c r="G6" s="13" t="s">
        <v>74</v>
      </c>
      <c r="H6" s="14"/>
    </row>
    <row r="7" spans="1:8" x14ac:dyDescent="0.35">
      <c r="A7" s="13" t="s">
        <v>205</v>
      </c>
      <c r="B7" s="14" t="s">
        <v>213</v>
      </c>
      <c r="C7" s="13">
        <v>1</v>
      </c>
      <c r="D7" s="14" t="s">
        <v>214</v>
      </c>
      <c r="E7" s="14" t="s">
        <v>215</v>
      </c>
      <c r="F7" s="13" t="s">
        <v>209</v>
      </c>
      <c r="G7" s="13" t="s">
        <v>79</v>
      </c>
      <c r="H7" s="14"/>
    </row>
    <row r="8" spans="1:8" x14ac:dyDescent="0.35">
      <c r="A8" s="13" t="s">
        <v>205</v>
      </c>
      <c r="B8" s="14" t="s">
        <v>216</v>
      </c>
      <c r="C8" s="13">
        <v>1</v>
      </c>
      <c r="D8" s="14" t="s">
        <v>217</v>
      </c>
      <c r="E8" s="14" t="s">
        <v>218</v>
      </c>
      <c r="F8" s="13" t="s">
        <v>209</v>
      </c>
      <c r="G8" s="13" t="s">
        <v>54</v>
      </c>
      <c r="H8" s="14"/>
    </row>
    <row r="9" spans="1:8" x14ac:dyDescent="0.35">
      <c r="A9" s="13" t="s">
        <v>205</v>
      </c>
      <c r="B9" s="14" t="s">
        <v>219</v>
      </c>
      <c r="C9" s="13">
        <v>1</v>
      </c>
      <c r="D9" s="14" t="s">
        <v>220</v>
      </c>
      <c r="E9" s="14" t="s">
        <v>221</v>
      </c>
      <c r="F9" s="13" t="s">
        <v>209</v>
      </c>
      <c r="G9" s="13" t="s">
        <v>59</v>
      </c>
      <c r="H9" s="14"/>
    </row>
    <row r="10" spans="1:8" x14ac:dyDescent="0.35">
      <c r="A10" s="13" t="s">
        <v>205</v>
      </c>
      <c r="B10" s="14" t="s">
        <v>222</v>
      </c>
      <c r="C10" s="13">
        <v>1</v>
      </c>
      <c r="D10" s="14" t="s">
        <v>223</v>
      </c>
      <c r="E10" s="14" t="s">
        <v>221</v>
      </c>
      <c r="F10" s="13" t="s">
        <v>209</v>
      </c>
      <c r="G10" s="13" t="s">
        <v>64</v>
      </c>
      <c r="H10" s="14"/>
    </row>
    <row r="11" spans="1:8" x14ac:dyDescent="0.35">
      <c r="A11" s="13" t="s">
        <v>205</v>
      </c>
      <c r="B11" s="14" t="s">
        <v>224</v>
      </c>
      <c r="C11" s="13">
        <v>1</v>
      </c>
      <c r="D11" s="14" t="s">
        <v>225</v>
      </c>
      <c r="E11" s="14" t="s">
        <v>221</v>
      </c>
      <c r="F11" s="13" t="s">
        <v>209</v>
      </c>
      <c r="G11" s="13" t="s">
        <v>59</v>
      </c>
      <c r="H11" s="14"/>
    </row>
    <row r="12" spans="1:8" x14ac:dyDescent="0.35">
      <c r="A12" s="13" t="s">
        <v>205</v>
      </c>
      <c r="B12" s="14" t="s">
        <v>226</v>
      </c>
      <c r="C12" s="13">
        <v>1</v>
      </c>
      <c r="D12" s="14" t="s">
        <v>227</v>
      </c>
      <c r="E12" s="14" t="s">
        <v>228</v>
      </c>
      <c r="F12" s="13" t="s">
        <v>209</v>
      </c>
      <c r="G12" s="13" t="s">
        <v>113</v>
      </c>
      <c r="H12" s="14"/>
    </row>
    <row r="13" spans="1:8" x14ac:dyDescent="0.35">
      <c r="A13" s="13" t="s">
        <v>205</v>
      </c>
      <c r="B13" s="14" t="s">
        <v>229</v>
      </c>
      <c r="C13" s="13">
        <v>1</v>
      </c>
      <c r="D13" s="14" t="s">
        <v>230</v>
      </c>
      <c r="E13" s="14" t="s">
        <v>228</v>
      </c>
      <c r="F13" s="13" t="s">
        <v>209</v>
      </c>
      <c r="G13" s="13" t="s">
        <v>113</v>
      </c>
      <c r="H13" s="14"/>
    </row>
    <row r="14" spans="1:8" x14ac:dyDescent="0.35">
      <c r="A14" s="13" t="s">
        <v>205</v>
      </c>
      <c r="B14" s="14" t="s">
        <v>231</v>
      </c>
      <c r="C14" s="13">
        <v>1</v>
      </c>
      <c r="D14" s="14" t="s">
        <v>232</v>
      </c>
      <c r="E14" s="14" t="s">
        <v>233</v>
      </c>
      <c r="F14" s="13" t="s">
        <v>209</v>
      </c>
      <c r="G14" s="13" t="s">
        <v>122</v>
      </c>
      <c r="H14" s="14"/>
    </row>
    <row r="15" spans="1:8" x14ac:dyDescent="0.35">
      <c r="A15" s="13" t="s">
        <v>205</v>
      </c>
      <c r="B15" s="14" t="s">
        <v>234</v>
      </c>
      <c r="C15" s="13">
        <v>1</v>
      </c>
      <c r="D15" s="14" t="s">
        <v>235</v>
      </c>
      <c r="E15" s="14" t="s">
        <v>233</v>
      </c>
      <c r="F15" s="13" t="s">
        <v>209</v>
      </c>
      <c r="G15" s="13" t="s">
        <v>122</v>
      </c>
      <c r="H15" s="14"/>
    </row>
    <row r="16" spans="1:8" x14ac:dyDescent="0.35">
      <c r="A16" s="13" t="s">
        <v>205</v>
      </c>
      <c r="B16" s="14" t="s">
        <v>236</v>
      </c>
      <c r="C16" s="13">
        <v>1</v>
      </c>
      <c r="D16" s="14" t="s">
        <v>237</v>
      </c>
      <c r="E16" s="14" t="s">
        <v>233</v>
      </c>
      <c r="F16" s="13" t="s">
        <v>209</v>
      </c>
      <c r="G16" s="13" t="s">
        <v>122</v>
      </c>
      <c r="H16" s="14"/>
    </row>
    <row r="17" spans="1:8" x14ac:dyDescent="0.35">
      <c r="A17" s="13" t="s">
        <v>205</v>
      </c>
      <c r="B17" s="14" t="s">
        <v>238</v>
      </c>
      <c r="C17" s="13">
        <v>1</v>
      </c>
      <c r="D17" s="14" t="s">
        <v>239</v>
      </c>
      <c r="E17" s="14" t="s">
        <v>228</v>
      </c>
      <c r="F17" s="13" t="s">
        <v>209</v>
      </c>
      <c r="G17" s="13" t="s">
        <v>113</v>
      </c>
      <c r="H17" s="14"/>
    </row>
    <row r="18" spans="1:8" x14ac:dyDescent="0.35">
      <c r="A18" s="13" t="s">
        <v>205</v>
      </c>
      <c r="B18" s="14" t="s">
        <v>240</v>
      </c>
      <c r="C18" s="13">
        <v>1</v>
      </c>
      <c r="D18" s="14" t="s">
        <v>241</v>
      </c>
      <c r="E18" s="14" t="s">
        <v>242</v>
      </c>
      <c r="F18" s="13" t="s">
        <v>209</v>
      </c>
      <c r="G18" s="13" t="s">
        <v>125</v>
      </c>
      <c r="H18" s="14"/>
    </row>
    <row r="19" spans="1:8" ht="25" x14ac:dyDescent="0.35">
      <c r="A19" s="13" t="s">
        <v>205</v>
      </c>
      <c r="B19" s="14" t="s">
        <v>243</v>
      </c>
      <c r="C19" s="13">
        <v>1</v>
      </c>
      <c r="D19" s="14" t="s">
        <v>244</v>
      </c>
      <c r="E19" s="14" t="s">
        <v>233</v>
      </c>
      <c r="F19" s="13" t="s">
        <v>209</v>
      </c>
      <c r="G19" s="13" t="s">
        <v>122</v>
      </c>
      <c r="H19" s="14"/>
    </row>
    <row r="20" spans="1:8" x14ac:dyDescent="0.35">
      <c r="A20" s="13" t="s">
        <v>205</v>
      </c>
      <c r="B20" s="14" t="s">
        <v>245</v>
      </c>
      <c r="C20" s="13">
        <v>1</v>
      </c>
      <c r="D20" s="14" t="s">
        <v>246</v>
      </c>
      <c r="E20" s="14" t="s">
        <v>247</v>
      </c>
      <c r="F20" s="13" t="s">
        <v>209</v>
      </c>
      <c r="G20" s="13" t="s">
        <v>116</v>
      </c>
      <c r="H20" s="14"/>
    </row>
    <row r="21" spans="1:8" x14ac:dyDescent="0.35">
      <c r="A21" s="13" t="s">
        <v>205</v>
      </c>
      <c r="B21" s="14" t="s">
        <v>248</v>
      </c>
      <c r="C21" s="13">
        <v>1</v>
      </c>
      <c r="D21" s="14" t="s">
        <v>249</v>
      </c>
      <c r="E21" s="14" t="s">
        <v>250</v>
      </c>
      <c r="F21" s="13" t="s">
        <v>209</v>
      </c>
      <c r="G21" s="13" t="s">
        <v>109</v>
      </c>
      <c r="H21" s="14"/>
    </row>
    <row r="22" spans="1:8" x14ac:dyDescent="0.35">
      <c r="A22" s="13" t="s">
        <v>205</v>
      </c>
      <c r="B22" s="14" t="s">
        <v>251</v>
      </c>
      <c r="C22" s="13">
        <v>1</v>
      </c>
      <c r="D22" s="14" t="s">
        <v>252</v>
      </c>
      <c r="E22" s="14" t="s">
        <v>228</v>
      </c>
      <c r="F22" s="13" t="s">
        <v>209</v>
      </c>
      <c r="G22" s="13" t="s">
        <v>113</v>
      </c>
      <c r="H22" s="14"/>
    </row>
    <row r="23" spans="1:8" x14ac:dyDescent="0.35">
      <c r="A23" s="13" t="s">
        <v>205</v>
      </c>
      <c r="B23" s="14" t="s">
        <v>253</v>
      </c>
      <c r="C23" s="13">
        <v>1</v>
      </c>
      <c r="D23" s="14" t="s">
        <v>254</v>
      </c>
      <c r="E23" s="14" t="s">
        <v>255</v>
      </c>
      <c r="F23" s="13" t="s">
        <v>209</v>
      </c>
      <c r="G23" s="13" t="s">
        <v>50</v>
      </c>
      <c r="H23" s="14"/>
    </row>
    <row r="24" spans="1:8" ht="25" x14ac:dyDescent="0.35">
      <c r="A24" s="13" t="s">
        <v>205</v>
      </c>
      <c r="B24" s="14" t="s">
        <v>256</v>
      </c>
      <c r="C24" s="13">
        <v>5</v>
      </c>
      <c r="D24" s="14" t="s">
        <v>257</v>
      </c>
      <c r="E24" s="14" t="s">
        <v>258</v>
      </c>
      <c r="F24" s="13" t="s">
        <v>209</v>
      </c>
      <c r="G24" s="13" t="s">
        <v>85</v>
      </c>
      <c r="H24" s="14"/>
    </row>
    <row r="25" spans="1:8" ht="25" x14ac:dyDescent="0.35">
      <c r="A25" s="13" t="s">
        <v>205</v>
      </c>
      <c r="B25" s="14" t="s">
        <v>259</v>
      </c>
      <c r="C25" s="13">
        <v>1</v>
      </c>
      <c r="D25" s="14" t="s">
        <v>260</v>
      </c>
      <c r="E25" s="14" t="s">
        <v>258</v>
      </c>
      <c r="F25" s="13" t="s">
        <v>209</v>
      </c>
      <c r="G25" s="13" t="s">
        <v>89</v>
      </c>
      <c r="H25" s="14"/>
    </row>
    <row r="26" spans="1:8" ht="25" x14ac:dyDescent="0.35">
      <c r="A26" s="13" t="s">
        <v>205</v>
      </c>
      <c r="B26" s="14" t="s">
        <v>261</v>
      </c>
      <c r="C26" s="13">
        <v>1</v>
      </c>
      <c r="D26" s="14" t="s">
        <v>262</v>
      </c>
      <c r="E26" s="14" t="s">
        <v>258</v>
      </c>
      <c r="F26" s="13" t="s">
        <v>209</v>
      </c>
      <c r="G26" s="13" t="s">
        <v>85</v>
      </c>
      <c r="H26" s="14"/>
    </row>
    <row r="27" spans="1:8" ht="25" x14ac:dyDescent="0.35">
      <c r="A27" s="13" t="s">
        <v>205</v>
      </c>
      <c r="B27" s="14" t="s">
        <v>263</v>
      </c>
      <c r="C27" s="13">
        <v>1</v>
      </c>
      <c r="D27" s="14" t="s">
        <v>264</v>
      </c>
      <c r="E27" s="14" t="s">
        <v>258</v>
      </c>
      <c r="F27" s="13" t="s">
        <v>209</v>
      </c>
      <c r="G27" s="13" t="s">
        <v>85</v>
      </c>
      <c r="H27" s="14"/>
    </row>
    <row r="28" spans="1:8" ht="25" x14ac:dyDescent="0.35">
      <c r="A28" s="13" t="s">
        <v>205</v>
      </c>
      <c r="B28" s="14" t="s">
        <v>265</v>
      </c>
      <c r="C28" s="13">
        <v>1</v>
      </c>
      <c r="D28" s="14" t="s">
        <v>266</v>
      </c>
      <c r="E28" s="14" t="s">
        <v>267</v>
      </c>
      <c r="F28" s="13" t="s">
        <v>209</v>
      </c>
      <c r="G28" s="13" t="s">
        <v>97</v>
      </c>
      <c r="H28" s="14"/>
    </row>
    <row r="29" spans="1:8" ht="25" x14ac:dyDescent="0.35">
      <c r="A29" s="13" t="s">
        <v>205</v>
      </c>
      <c r="B29" s="14" t="s">
        <v>268</v>
      </c>
      <c r="C29" s="13">
        <v>1</v>
      </c>
      <c r="D29" s="14" t="s">
        <v>269</v>
      </c>
      <c r="E29" s="14" t="s">
        <v>258</v>
      </c>
      <c r="F29" s="13" t="s">
        <v>209</v>
      </c>
      <c r="G29" s="13" t="s">
        <v>85</v>
      </c>
      <c r="H29" s="14"/>
    </row>
    <row r="30" spans="1:8" ht="25" x14ac:dyDescent="0.35">
      <c r="A30" s="13" t="s">
        <v>205</v>
      </c>
      <c r="B30" s="14" t="s">
        <v>270</v>
      </c>
      <c r="C30" s="13">
        <v>1</v>
      </c>
      <c r="D30" s="14" t="s">
        <v>271</v>
      </c>
      <c r="E30" s="14" t="s">
        <v>258</v>
      </c>
      <c r="F30" s="13" t="s">
        <v>209</v>
      </c>
      <c r="G30" s="13" t="s">
        <v>91</v>
      </c>
      <c r="H30" s="14"/>
    </row>
    <row r="31" spans="1:8" ht="25" x14ac:dyDescent="0.35">
      <c r="A31" s="13" t="s">
        <v>205</v>
      </c>
      <c r="B31" s="14" t="s">
        <v>272</v>
      </c>
      <c r="C31" s="13">
        <v>1</v>
      </c>
      <c r="D31" s="14" t="s">
        <v>273</v>
      </c>
      <c r="E31" s="14" t="s">
        <v>258</v>
      </c>
      <c r="F31" s="13" t="s">
        <v>209</v>
      </c>
      <c r="G31" s="13" t="s">
        <v>85</v>
      </c>
      <c r="H31" s="14"/>
    </row>
    <row r="32" spans="1:8" ht="25" x14ac:dyDescent="0.35">
      <c r="A32" s="13" t="s">
        <v>205</v>
      </c>
      <c r="B32" s="14" t="s">
        <v>274</v>
      </c>
      <c r="C32" s="13">
        <v>1</v>
      </c>
      <c r="D32" s="14" t="s">
        <v>275</v>
      </c>
      <c r="E32" s="14" t="s">
        <v>258</v>
      </c>
      <c r="F32" s="13" t="s">
        <v>209</v>
      </c>
      <c r="G32" s="13" t="s">
        <v>94</v>
      </c>
      <c r="H32" s="14"/>
    </row>
    <row r="33" spans="1:8" ht="25" x14ac:dyDescent="0.35">
      <c r="A33" s="13" t="s">
        <v>205</v>
      </c>
      <c r="B33" s="14" t="s">
        <v>276</v>
      </c>
      <c r="C33" s="13">
        <v>1</v>
      </c>
      <c r="D33" s="14" t="s">
        <v>277</v>
      </c>
      <c r="E33" s="14" t="s">
        <v>258</v>
      </c>
      <c r="F33" s="13" t="s">
        <v>209</v>
      </c>
      <c r="G33" s="13" t="s">
        <v>89</v>
      </c>
      <c r="H33" s="14"/>
    </row>
    <row r="34" spans="1:8" ht="25" x14ac:dyDescent="0.35">
      <c r="A34" s="13" t="s">
        <v>205</v>
      </c>
      <c r="B34" s="14" t="s">
        <v>278</v>
      </c>
      <c r="C34" s="13">
        <v>1</v>
      </c>
      <c r="D34" s="14" t="s">
        <v>279</v>
      </c>
      <c r="E34" s="14" t="s">
        <v>258</v>
      </c>
      <c r="F34" s="13" t="s">
        <v>209</v>
      </c>
      <c r="G34" s="13" t="s">
        <v>85</v>
      </c>
      <c r="H34" s="14" t="s">
        <v>280</v>
      </c>
    </row>
    <row r="35" spans="1:8" x14ac:dyDescent="0.35">
      <c r="A35" s="13" t="s">
        <v>205</v>
      </c>
      <c r="B35" s="14" t="s">
        <v>281</v>
      </c>
      <c r="C35" s="13">
        <v>2</v>
      </c>
      <c r="D35" s="14" t="s">
        <v>282</v>
      </c>
      <c r="E35" s="14" t="s">
        <v>283</v>
      </c>
      <c r="F35" s="13" t="s">
        <v>284</v>
      </c>
      <c r="G35" s="13" t="s">
        <v>285</v>
      </c>
      <c r="H35" s="14"/>
    </row>
    <row r="36" spans="1:8" x14ac:dyDescent="0.35">
      <c r="A36" s="13" t="s">
        <v>205</v>
      </c>
      <c r="B36" s="14" t="s">
        <v>286</v>
      </c>
      <c r="C36" s="13">
        <v>1</v>
      </c>
      <c r="D36" s="14" t="s">
        <v>287</v>
      </c>
      <c r="E36" s="14" t="s">
        <v>288</v>
      </c>
      <c r="F36" s="13" t="s">
        <v>209</v>
      </c>
      <c r="G36" s="13" t="s">
        <v>31</v>
      </c>
      <c r="H36" s="14"/>
    </row>
    <row r="37" spans="1:8" x14ac:dyDescent="0.35">
      <c r="A37" s="13" t="s">
        <v>205</v>
      </c>
      <c r="B37" s="14" t="s">
        <v>289</v>
      </c>
      <c r="C37" s="13">
        <v>1</v>
      </c>
      <c r="D37" s="14" t="s">
        <v>290</v>
      </c>
      <c r="E37" s="14" t="s">
        <v>291</v>
      </c>
      <c r="F37" s="13" t="s">
        <v>209</v>
      </c>
      <c r="G37" s="13" t="s">
        <v>36</v>
      </c>
      <c r="H37" s="14"/>
    </row>
    <row r="38" spans="1:8" x14ac:dyDescent="0.35">
      <c r="A38" s="13" t="s">
        <v>205</v>
      </c>
      <c r="B38" s="14" t="s">
        <v>292</v>
      </c>
      <c r="C38" s="13">
        <v>1</v>
      </c>
      <c r="D38" s="14" t="s">
        <v>293</v>
      </c>
      <c r="E38" s="14" t="s">
        <v>294</v>
      </c>
      <c r="F38" s="13" t="s">
        <v>209</v>
      </c>
      <c r="G38" s="13" t="s">
        <v>39</v>
      </c>
      <c r="H38" s="14"/>
    </row>
    <row r="39" spans="1:8" x14ac:dyDescent="0.35">
      <c r="A39" s="13" t="s">
        <v>205</v>
      </c>
      <c r="B39" s="14" t="s">
        <v>295</v>
      </c>
      <c r="C39" s="13">
        <v>1</v>
      </c>
      <c r="D39" s="14" t="s">
        <v>296</v>
      </c>
      <c r="E39" s="14" t="s">
        <v>297</v>
      </c>
      <c r="F39" s="13" t="s">
        <v>209</v>
      </c>
      <c r="G39" s="13" t="s">
        <v>44</v>
      </c>
      <c r="H39" s="14"/>
    </row>
    <row r="40" spans="1:8" x14ac:dyDescent="0.35">
      <c r="A40" s="13" t="s">
        <v>298</v>
      </c>
      <c r="B40" s="14" t="s">
        <v>206</v>
      </c>
      <c r="C40" s="13">
        <v>1</v>
      </c>
      <c r="D40" s="14" t="s">
        <v>299</v>
      </c>
      <c r="E40" s="14" t="s">
        <v>215</v>
      </c>
      <c r="F40" s="13" t="s">
        <v>209</v>
      </c>
      <c r="G40" s="13" t="s">
        <v>135</v>
      </c>
      <c r="H40" s="14"/>
    </row>
    <row r="41" spans="1:8" x14ac:dyDescent="0.35">
      <c r="A41" s="13" t="s">
        <v>298</v>
      </c>
      <c r="B41" s="14" t="s">
        <v>300</v>
      </c>
      <c r="C41" s="13">
        <v>2</v>
      </c>
      <c r="D41" s="14" t="s">
        <v>301</v>
      </c>
      <c r="E41" s="14" t="s">
        <v>302</v>
      </c>
      <c r="F41" s="13" t="s">
        <v>209</v>
      </c>
      <c r="G41" s="13" t="s">
        <v>145</v>
      </c>
      <c r="H41" s="14"/>
    </row>
    <row r="42" spans="1:8" x14ac:dyDescent="0.35">
      <c r="A42" s="13" t="s">
        <v>298</v>
      </c>
      <c r="B42" s="14" t="s">
        <v>213</v>
      </c>
      <c r="C42" s="13">
        <v>1</v>
      </c>
      <c r="D42" s="14" t="s">
        <v>303</v>
      </c>
      <c r="E42" s="14" t="s">
        <v>304</v>
      </c>
      <c r="F42" s="13" t="s">
        <v>209</v>
      </c>
      <c r="G42" s="13" t="s">
        <v>140</v>
      </c>
      <c r="H42" s="14"/>
    </row>
    <row r="43" spans="1:8" ht="25" x14ac:dyDescent="0.35">
      <c r="A43" s="13" t="s">
        <v>298</v>
      </c>
      <c r="B43" s="14" t="s">
        <v>305</v>
      </c>
      <c r="C43" s="13">
        <v>2</v>
      </c>
      <c r="D43" s="14" t="s">
        <v>306</v>
      </c>
      <c r="E43" s="14" t="s">
        <v>302</v>
      </c>
      <c r="F43" s="13" t="s">
        <v>209</v>
      </c>
      <c r="G43" s="13" t="s">
        <v>145</v>
      </c>
      <c r="H43" s="14" t="s">
        <v>307</v>
      </c>
    </row>
    <row r="44" spans="1:8" x14ac:dyDescent="0.35">
      <c r="A44" s="13" t="s">
        <v>298</v>
      </c>
      <c r="B44" s="14" t="s">
        <v>226</v>
      </c>
      <c r="C44" s="13">
        <v>1</v>
      </c>
      <c r="D44" s="14" t="s">
        <v>308</v>
      </c>
      <c r="E44" s="14" t="s">
        <v>228</v>
      </c>
      <c r="F44" s="13" t="s">
        <v>209</v>
      </c>
      <c r="G44" s="13" t="s">
        <v>113</v>
      </c>
      <c r="H44" s="14"/>
    </row>
    <row r="45" spans="1:8" ht="25" x14ac:dyDescent="0.35">
      <c r="A45" s="13" t="s">
        <v>298</v>
      </c>
      <c r="B45" s="14" t="s">
        <v>229</v>
      </c>
      <c r="C45" s="13">
        <v>1</v>
      </c>
      <c r="D45" s="14" t="s">
        <v>309</v>
      </c>
      <c r="E45" s="14" t="s">
        <v>228</v>
      </c>
      <c r="F45" s="13" t="s">
        <v>209</v>
      </c>
      <c r="G45" s="13" t="s">
        <v>113</v>
      </c>
      <c r="H45" s="14"/>
    </row>
    <row r="46" spans="1:8" x14ac:dyDescent="0.35">
      <c r="A46" s="13" t="s">
        <v>298</v>
      </c>
      <c r="B46" s="14" t="s">
        <v>231</v>
      </c>
      <c r="C46" s="13">
        <v>1</v>
      </c>
      <c r="D46" s="14" t="s">
        <v>310</v>
      </c>
      <c r="E46" s="14" t="s">
        <v>311</v>
      </c>
      <c r="F46" s="13" t="s">
        <v>209</v>
      </c>
      <c r="G46" s="13" t="s">
        <v>119</v>
      </c>
      <c r="H46" s="14"/>
    </row>
    <row r="47" spans="1:8" x14ac:dyDescent="0.35">
      <c r="A47" s="13" t="s">
        <v>298</v>
      </c>
      <c r="B47" s="14" t="s">
        <v>234</v>
      </c>
      <c r="C47" s="13">
        <v>1</v>
      </c>
      <c r="D47" s="14" t="s">
        <v>312</v>
      </c>
      <c r="E47" s="14" t="s">
        <v>311</v>
      </c>
      <c r="F47" s="13" t="s">
        <v>209</v>
      </c>
      <c r="G47" s="13" t="s">
        <v>119</v>
      </c>
      <c r="H47" s="14"/>
    </row>
    <row r="48" spans="1:8" ht="25" x14ac:dyDescent="0.35">
      <c r="A48" s="13" t="s">
        <v>298</v>
      </c>
      <c r="B48" s="14" t="s">
        <v>313</v>
      </c>
      <c r="C48" s="13">
        <v>4</v>
      </c>
      <c r="D48" s="14" t="s">
        <v>314</v>
      </c>
      <c r="E48" s="14" t="s">
        <v>258</v>
      </c>
      <c r="F48" s="13" t="s">
        <v>209</v>
      </c>
      <c r="G48" s="13" t="s">
        <v>101</v>
      </c>
      <c r="H48" s="14"/>
    </row>
    <row r="49" spans="1:8" ht="25" x14ac:dyDescent="0.35">
      <c r="A49" s="13" t="s">
        <v>298</v>
      </c>
      <c r="B49" s="14" t="s">
        <v>315</v>
      </c>
      <c r="C49" s="13">
        <v>2</v>
      </c>
      <c r="D49" s="14" t="s">
        <v>316</v>
      </c>
      <c r="E49" s="14" t="s">
        <v>258</v>
      </c>
      <c r="F49" s="13" t="s">
        <v>209</v>
      </c>
      <c r="G49" s="13" t="s">
        <v>104</v>
      </c>
      <c r="H49" s="14"/>
    </row>
    <row r="50" spans="1:8" x14ac:dyDescent="0.35">
      <c r="A50" s="13" t="s">
        <v>298</v>
      </c>
      <c r="B50" s="14" t="s">
        <v>281</v>
      </c>
      <c r="C50" s="13">
        <v>2</v>
      </c>
      <c r="D50" s="14" t="s">
        <v>282</v>
      </c>
      <c r="E50" s="14" t="s">
        <v>283</v>
      </c>
      <c r="F50" s="13" t="s">
        <v>284</v>
      </c>
      <c r="G50" s="13" t="s">
        <v>285</v>
      </c>
      <c r="H50" s="14"/>
    </row>
    <row r="51" spans="1:8" ht="25" x14ac:dyDescent="0.35">
      <c r="A51" s="13" t="s">
        <v>298</v>
      </c>
      <c r="B51" s="14" t="s">
        <v>286</v>
      </c>
      <c r="C51" s="13">
        <v>1</v>
      </c>
      <c r="D51" s="14" t="s">
        <v>317</v>
      </c>
      <c r="E51" s="14" t="s">
        <v>255</v>
      </c>
      <c r="F51" s="13" t="s">
        <v>209</v>
      </c>
      <c r="G51" s="13" t="s">
        <v>130</v>
      </c>
      <c r="H51" s="14"/>
    </row>
    <row r="52" spans="1:8" x14ac:dyDescent="0.35">
      <c r="A52" s="13" t="s">
        <v>298</v>
      </c>
      <c r="B52" s="14" t="s">
        <v>289</v>
      </c>
      <c r="C52" s="13">
        <v>1</v>
      </c>
      <c r="D52" s="14" t="s">
        <v>318</v>
      </c>
      <c r="E52" s="14" t="s">
        <v>319</v>
      </c>
      <c r="F52" s="13" t="s">
        <v>209</v>
      </c>
      <c r="G52" s="13" t="s">
        <v>150</v>
      </c>
      <c r="H52" s="14"/>
    </row>
    <row r="53" spans="1:8" x14ac:dyDescent="0.35">
      <c r="A53" s="13" t="s">
        <v>298</v>
      </c>
      <c r="B53" s="14" t="s">
        <v>292</v>
      </c>
      <c r="C53" s="13">
        <v>1</v>
      </c>
      <c r="D53" s="14" t="s">
        <v>320</v>
      </c>
      <c r="E53" s="14" t="s">
        <v>319</v>
      </c>
      <c r="F53" s="13" t="s">
        <v>209</v>
      </c>
      <c r="G53" s="13" t="s">
        <v>150</v>
      </c>
      <c r="H53" s="14"/>
    </row>
  </sheetData>
  <autoFilter ref="A4:H53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Shopping list</vt:lpstr>
      <vt:lpstr>Board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Fintan Healy</cp:lastModifiedBy>
  <dcterms:created xsi:type="dcterms:W3CDTF">2026-10-28T23:01:55Z</dcterms:created>
  <dcterms:modified xsi:type="dcterms:W3CDTF">2026-10-29T00:25:36Z</dcterms:modified>
</cp:coreProperties>
</file>